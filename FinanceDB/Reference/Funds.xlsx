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tzdu\source\repos\FinanceDB\FinanceDB\Reference\"/>
    </mc:Choice>
  </mc:AlternateContent>
  <xr:revisionPtr revIDLastSave="0" documentId="13_ncr:1_{FFB159F8-393C-4D46-8CCD-A50CFA0814C2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OriginalSheet" sheetId="1" r:id="rId1"/>
    <sheet name="TopFundsView" sheetId="2" r:id="rId2"/>
    <sheet name="AddToFundsView" sheetId="5" r:id="rId3"/>
    <sheet name="FundDetailsView" sheetId="4" r:id="rId4"/>
    <sheet name="RatiosView" sheetId="3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3" l="1"/>
  <c r="J14" i="3"/>
  <c r="I14" i="3"/>
  <c r="H14" i="3"/>
  <c r="G14" i="3"/>
  <c r="F14" i="3"/>
  <c r="K13" i="3"/>
  <c r="J13" i="3"/>
  <c r="I13" i="3"/>
  <c r="H13" i="3"/>
  <c r="G13" i="3"/>
  <c r="F13" i="3"/>
  <c r="K12" i="3"/>
  <c r="J12" i="3"/>
  <c r="I12" i="3"/>
  <c r="H12" i="3"/>
  <c r="G12" i="3"/>
  <c r="F12" i="3"/>
  <c r="K11" i="3"/>
  <c r="J11" i="3"/>
  <c r="I11" i="3"/>
  <c r="H11" i="3"/>
  <c r="G11" i="3"/>
  <c r="F11" i="3"/>
  <c r="K10" i="3"/>
  <c r="J10" i="3"/>
  <c r="I10" i="3"/>
  <c r="H10" i="3"/>
  <c r="G10" i="3"/>
  <c r="F10" i="3"/>
  <c r="K9" i="3"/>
  <c r="J9" i="3"/>
  <c r="I9" i="3"/>
  <c r="H9" i="3"/>
  <c r="G9" i="3"/>
  <c r="F9" i="3"/>
  <c r="K8" i="3"/>
  <c r="J8" i="3"/>
  <c r="I8" i="3"/>
  <c r="H8" i="3"/>
  <c r="G8" i="3"/>
  <c r="F8" i="3"/>
  <c r="K7" i="3"/>
  <c r="J7" i="3"/>
  <c r="I7" i="3"/>
  <c r="H7" i="3"/>
  <c r="G7" i="3"/>
  <c r="F7" i="3"/>
  <c r="K6" i="3"/>
  <c r="J6" i="3"/>
  <c r="I6" i="3"/>
  <c r="H6" i="3"/>
  <c r="G6" i="3"/>
  <c r="F6" i="3"/>
  <c r="K5" i="3"/>
  <c r="J5" i="3"/>
  <c r="I5" i="3"/>
  <c r="H5" i="3"/>
  <c r="G5" i="3"/>
  <c r="F5" i="3"/>
  <c r="K4" i="3"/>
  <c r="J4" i="3"/>
  <c r="I4" i="3"/>
  <c r="H4" i="3"/>
  <c r="G4" i="3"/>
  <c r="F4" i="3"/>
  <c r="K3" i="3"/>
  <c r="J3" i="3"/>
  <c r="I3" i="3"/>
  <c r="H3" i="3"/>
  <c r="G3" i="3"/>
  <c r="F3" i="3"/>
  <c r="K2" i="3"/>
  <c r="J2" i="3"/>
  <c r="J15" i="3" s="1"/>
  <c r="I2" i="3"/>
  <c r="I15" i="3" s="1"/>
  <c r="H2" i="3"/>
  <c r="H15" i="3" s="1"/>
  <c r="G2" i="3"/>
  <c r="G15" i="3" s="1"/>
  <c r="F2" i="3"/>
  <c r="F15" i="3" s="1"/>
  <c r="E13" i="2" l="1"/>
  <c r="F13" i="2"/>
  <c r="E14" i="2"/>
  <c r="F14" i="2"/>
  <c r="K15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B3" i="2"/>
  <c r="F2" i="2"/>
  <c r="B2" i="2"/>
  <c r="N15" i="1"/>
  <c r="AC14" i="1"/>
  <c r="H14" i="1"/>
  <c r="L14" i="1" s="1"/>
  <c r="G14" i="1"/>
  <c r="F14" i="1"/>
  <c r="AC13" i="1"/>
  <c r="H13" i="1"/>
  <c r="L13" i="1" s="1"/>
  <c r="G13" i="1"/>
  <c r="F13" i="1"/>
  <c r="AC12" i="1"/>
  <c r="H12" i="1"/>
  <c r="L12" i="1" s="1"/>
  <c r="G12" i="1"/>
  <c r="F12" i="1"/>
  <c r="AC11" i="1"/>
  <c r="H11" i="1"/>
  <c r="L11" i="1" s="1"/>
  <c r="G11" i="1"/>
  <c r="F11" i="1"/>
  <c r="AC10" i="1"/>
  <c r="H10" i="1"/>
  <c r="L10" i="1" s="1"/>
  <c r="G10" i="1"/>
  <c r="F10" i="1"/>
  <c r="AC9" i="1"/>
  <c r="H9" i="1"/>
  <c r="L9" i="1" s="1"/>
  <c r="G9" i="1"/>
  <c r="F9" i="1"/>
  <c r="AC8" i="1"/>
  <c r="H8" i="1"/>
  <c r="L8" i="1" s="1"/>
  <c r="G8" i="1"/>
  <c r="F8" i="1"/>
  <c r="AC7" i="1"/>
  <c r="H7" i="1"/>
  <c r="L7" i="1" s="1"/>
  <c r="G7" i="1"/>
  <c r="F7" i="1"/>
  <c r="AC6" i="1"/>
  <c r="H6" i="1"/>
  <c r="L6" i="1" s="1"/>
  <c r="G6" i="1"/>
  <c r="F6" i="1"/>
  <c r="AC5" i="1"/>
  <c r="H5" i="1"/>
  <c r="L5" i="1" s="1"/>
  <c r="G5" i="1"/>
  <c r="F5" i="1"/>
  <c r="AC4" i="1"/>
  <c r="H4" i="1"/>
  <c r="L4" i="1" s="1"/>
  <c r="G4" i="1"/>
  <c r="F4" i="1"/>
  <c r="AC3" i="1"/>
  <c r="H3" i="1"/>
  <c r="L3" i="1" s="1"/>
  <c r="G3" i="1"/>
  <c r="B3" i="1"/>
  <c r="AC2" i="1"/>
  <c r="H2" i="1"/>
  <c r="L2" i="1" s="1"/>
  <c r="G2" i="1"/>
  <c r="B2" i="1"/>
  <c r="K2" i="1" s="1"/>
  <c r="G14" i="2" l="1"/>
  <c r="G11" i="2"/>
  <c r="G13" i="2"/>
  <c r="I5" i="2"/>
  <c r="G8" i="2"/>
  <c r="I9" i="2"/>
  <c r="I12" i="2"/>
  <c r="G2" i="2"/>
  <c r="G3" i="2"/>
  <c r="I13" i="2"/>
  <c r="I14" i="2"/>
  <c r="I3" i="2"/>
  <c r="E15" i="2"/>
  <c r="E16" i="2" s="1"/>
  <c r="I2" i="2"/>
  <c r="G6" i="2"/>
  <c r="G5" i="2"/>
  <c r="I4" i="2"/>
  <c r="I8" i="2"/>
  <c r="I10" i="2"/>
  <c r="G4" i="2"/>
  <c r="G10" i="2"/>
  <c r="G7" i="2"/>
  <c r="I6" i="2"/>
  <c r="I11" i="2"/>
  <c r="G9" i="2"/>
  <c r="G12" i="2"/>
  <c r="I7" i="2"/>
  <c r="K3" i="1"/>
  <c r="L15" i="1"/>
  <c r="F15" i="1"/>
  <c r="M14" i="1" s="1"/>
  <c r="G15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K4" i="1"/>
  <c r="K5" i="1"/>
  <c r="K6" i="1"/>
  <c r="K7" i="1"/>
  <c r="K8" i="1"/>
  <c r="K9" i="1"/>
  <c r="K10" i="1"/>
  <c r="K11" i="1"/>
  <c r="K12" i="1"/>
  <c r="K13" i="1"/>
  <c r="K14" i="1"/>
  <c r="J13" i="2" l="1"/>
  <c r="J14" i="2"/>
  <c r="J9" i="2"/>
  <c r="I15" i="2"/>
  <c r="J11" i="2"/>
  <c r="J5" i="2"/>
  <c r="J4" i="2"/>
  <c r="J3" i="2"/>
  <c r="J2" i="2"/>
  <c r="J12" i="2"/>
  <c r="J7" i="2"/>
  <c r="J6" i="2"/>
  <c r="J8" i="2"/>
  <c r="J10" i="2"/>
  <c r="F16" i="1"/>
  <c r="P11" i="1" s="1"/>
  <c r="Q11" i="1" s="1"/>
  <c r="K15" i="1"/>
  <c r="K16" i="1" s="1"/>
  <c r="M13" i="1"/>
  <c r="AB13" i="1" s="1"/>
  <c r="AA14" i="1"/>
  <c r="Z14" i="1"/>
  <c r="Y14" i="1"/>
  <c r="X14" i="1"/>
  <c r="O14" i="1"/>
  <c r="AB14" i="1"/>
  <c r="P4" i="1"/>
  <c r="Q4" i="1" s="1"/>
  <c r="M6" i="1"/>
  <c r="P12" i="1"/>
  <c r="Q12" i="1" s="1"/>
  <c r="AA13" i="1"/>
  <c r="Z13" i="1"/>
  <c r="Y13" i="1"/>
  <c r="X13" i="1"/>
  <c r="P13" i="1"/>
  <c r="Q13" i="1" s="1"/>
  <c r="M3" i="1"/>
  <c r="M2" i="1"/>
  <c r="M7" i="1"/>
  <c r="M5" i="1"/>
  <c r="P10" i="1"/>
  <c r="Q10" i="1" s="1"/>
  <c r="P8" i="1"/>
  <c r="Q8" i="1" s="1"/>
  <c r="P5" i="1"/>
  <c r="Q5" i="1" s="1"/>
  <c r="P2" i="1"/>
  <c r="M9" i="1"/>
  <c r="P6" i="1"/>
  <c r="Q6" i="1" s="1"/>
  <c r="M10" i="1"/>
  <c r="M8" i="1"/>
  <c r="P9" i="1"/>
  <c r="Q9" i="1" s="1"/>
  <c r="M12" i="1"/>
  <c r="P14" i="1"/>
  <c r="Q14" i="1" s="1"/>
  <c r="M4" i="1"/>
  <c r="M11" i="1"/>
  <c r="P7" i="1"/>
  <c r="Q7" i="1" s="1"/>
  <c r="P3" i="1"/>
  <c r="Q3" i="1" s="1"/>
  <c r="I16" i="2" l="1"/>
  <c r="L3" i="2"/>
  <c r="L10" i="2"/>
  <c r="L6" i="2"/>
  <c r="L2" i="2"/>
  <c r="L4" i="2"/>
  <c r="L11" i="2"/>
  <c r="L14" i="2"/>
  <c r="L8" i="2"/>
  <c r="L7" i="2"/>
  <c r="L12" i="2"/>
  <c r="L5" i="2"/>
  <c r="L9" i="2"/>
  <c r="L13" i="2"/>
  <c r="J15" i="2"/>
  <c r="O13" i="1"/>
  <c r="AA9" i="1"/>
  <c r="Z9" i="1"/>
  <c r="Y9" i="1"/>
  <c r="X9" i="1"/>
  <c r="O9" i="1"/>
  <c r="AB9" i="1"/>
  <c r="AA8" i="1"/>
  <c r="Z8" i="1"/>
  <c r="Y8" i="1"/>
  <c r="X8" i="1"/>
  <c r="O8" i="1"/>
  <c r="AB8" i="1"/>
  <c r="AA11" i="1"/>
  <c r="Z11" i="1"/>
  <c r="Y11" i="1"/>
  <c r="X11" i="1"/>
  <c r="AB11" i="1"/>
  <c r="O11" i="1"/>
  <c r="AA4" i="1"/>
  <c r="Z4" i="1"/>
  <c r="Y4" i="1"/>
  <c r="X4" i="1"/>
  <c r="O4" i="1"/>
  <c r="AB4" i="1"/>
  <c r="AA6" i="1"/>
  <c r="Z6" i="1"/>
  <c r="Y6" i="1"/>
  <c r="X6" i="1"/>
  <c r="O6" i="1"/>
  <c r="AB6" i="1"/>
  <c r="AA2" i="1"/>
  <c r="Z2" i="1"/>
  <c r="Y2" i="1"/>
  <c r="X2" i="1"/>
  <c r="O2" i="1"/>
  <c r="M15" i="1"/>
  <c r="AB2" i="1"/>
  <c r="Q2" i="1"/>
  <c r="P15" i="1"/>
  <c r="AA3" i="1"/>
  <c r="Z3" i="1"/>
  <c r="Y3" i="1"/>
  <c r="X3" i="1"/>
  <c r="O3" i="1"/>
  <c r="AB3" i="1"/>
  <c r="AA10" i="1"/>
  <c r="Z10" i="1"/>
  <c r="Y10" i="1"/>
  <c r="X10" i="1"/>
  <c r="AB10" i="1"/>
  <c r="O10" i="1"/>
  <c r="AA5" i="1"/>
  <c r="Z5" i="1"/>
  <c r="Y5" i="1"/>
  <c r="X5" i="1"/>
  <c r="AB5" i="1"/>
  <c r="O5" i="1"/>
  <c r="AA7" i="1"/>
  <c r="Z7" i="1"/>
  <c r="Y7" i="1"/>
  <c r="X7" i="1"/>
  <c r="O7" i="1"/>
  <c r="AB7" i="1"/>
  <c r="AA12" i="1"/>
  <c r="Z12" i="1"/>
  <c r="Y12" i="1"/>
  <c r="X12" i="1"/>
  <c r="O12" i="1"/>
  <c r="AB12" i="1"/>
  <c r="Z15" i="1" l="1"/>
  <c r="AA15" i="1"/>
  <c r="AB15" i="1"/>
  <c r="X15" i="1"/>
  <c r="Y15" i="1"/>
</calcChain>
</file>

<file path=xl/sharedStrings.xml><?xml version="1.0" encoding="utf-8"?>
<sst xmlns="http://schemas.openxmlformats.org/spreadsheetml/2006/main" count="130" uniqueCount="55">
  <si>
    <t>monthly</t>
  </si>
  <si>
    <t>FDLXX</t>
  </si>
  <si>
    <t>quarterly</t>
  </si>
  <si>
    <t>77 - S&amp;P Technology Select Sector index, State Street</t>
  </si>
  <si>
    <t>XLK</t>
  </si>
  <si>
    <t>TFP - 101, Momentum Growth ETF, Invesco</t>
  </si>
  <si>
    <t>SCHG</t>
  </si>
  <si>
    <t>TFP - 198, tracks Dow Jones Large-Cap Total Stock Market Index, 197 stocks with strong growth characteristics, Schwab</t>
  </si>
  <si>
    <t>SCHB</t>
  </si>
  <si>
    <t>TFP - 2409, total US mkt portion, Schwab</t>
  </si>
  <si>
    <t>SCHF</t>
  </si>
  <si>
    <t>bi-annually</t>
  </si>
  <si>
    <t>TFP -1493, intl-only developed mkts portion, Schwab</t>
  </si>
  <si>
    <t>SCHD</t>
  </si>
  <si>
    <t>VYMI</t>
  </si>
  <si>
    <t>GPIQ</t>
  </si>
  <si>
    <t>GPIX</t>
  </si>
  <si>
    <t>QQQI</t>
  </si>
  <si>
    <t>SPYI</t>
  </si>
  <si>
    <r>
      <t xml:space="preserve">103, </t>
    </r>
    <r>
      <rPr>
        <sz val="11"/>
        <color theme="9"/>
        <rFont val="Calibri"/>
        <family val="2"/>
        <scheme val="minor"/>
      </rPr>
      <t>Qualified</t>
    </r>
    <r>
      <rPr>
        <sz val="11"/>
        <color theme="1"/>
        <rFont val="Calibri"/>
        <family val="2"/>
        <scheme val="minor"/>
      </rPr>
      <t xml:space="preserve"> dividend AND non-tech/large-cap counterweight, tracks Dow Jones U.S. Dividend 100™ Index, Schwab</t>
    </r>
  </si>
  <si>
    <t>Core position</t>
  </si>
  <si>
    <t>CA tax-exempt</t>
  </si>
  <si>
    <t>1628, Qualified dividend AND non-tech/large-cap counterweight, tracks intl</t>
  </si>
  <si>
    <t>NbrShare</t>
  </si>
  <si>
    <t>NbrAddShare</t>
  </si>
  <si>
    <t>PercDistYield</t>
  </si>
  <si>
    <t>Ticker</t>
  </si>
  <si>
    <t>CurrShare</t>
  </si>
  <si>
    <t>CurrTotal</t>
  </si>
  <si>
    <t>CurrAddTotal</t>
  </si>
  <si>
    <t>CurrYrDiv</t>
  </si>
  <si>
    <t>CurrPerDiv</t>
  </si>
  <si>
    <t>PercExpRatio</t>
  </si>
  <si>
    <t>CurrTotYrDiv</t>
  </si>
  <si>
    <t>CurrAddTotYrDiv</t>
  </si>
  <si>
    <t>PercRatio</t>
  </si>
  <si>
    <t>PercTgtRatio</t>
  </si>
  <si>
    <t>PercTgtRatDiff</t>
  </si>
  <si>
    <t>PercAddRatio</t>
  </si>
  <si>
    <t>PercAddTgtRatDiff</t>
  </si>
  <si>
    <t>DivFreq</t>
  </si>
  <si>
    <t>PercTech</t>
  </si>
  <si>
    <t>PercIntl</t>
  </si>
  <si>
    <t>PercLargeCap</t>
  </si>
  <si>
    <t>PercMidCap</t>
  </si>
  <si>
    <t>PercSmallCap</t>
  </si>
  <si>
    <t>Description</t>
  </si>
  <si>
    <t>PercTechRatio</t>
  </si>
  <si>
    <t>PercIntlRatio</t>
  </si>
  <si>
    <t>PercLargeCapRatio</t>
  </si>
  <si>
    <t>PercMidCapRatio</t>
  </si>
  <si>
    <t>PercSmallCapRatio</t>
  </si>
  <si>
    <t>PercCapTotal</t>
  </si>
  <si>
    <t>FZFXX</t>
  </si>
  <si>
    <t>SPMO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</si>
</sst>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&quot;$&quot;#,##0.00"/>
    <numFmt numFmtId="166" formatCode="0.00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FFC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5"/>
        <bgColor indexed="64"/>
      </patternFill>
    </fill>
  </fills>
  <borders count="18">
    <border>
      <left/>
      <right/>
      <top/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rgb="FF7030A0"/>
      </left>
      <right/>
      <top/>
      <bottom/>
      <diagonal/>
    </border>
    <border>
      <left/>
      <right style="medium">
        <color rgb="FF7030A0"/>
      </right>
      <top/>
      <bottom/>
      <diagonal/>
    </border>
    <border>
      <left/>
      <right style="medium">
        <color theme="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theme="4"/>
      </left>
      <right style="medium">
        <color theme="4"/>
      </right>
      <top/>
      <bottom style="double">
        <color indexed="64"/>
      </bottom>
      <diagonal/>
    </border>
    <border>
      <left style="medium">
        <color rgb="FF7030A0"/>
      </left>
      <right/>
      <top/>
      <bottom style="double">
        <color indexed="64"/>
      </bottom>
      <diagonal/>
    </border>
    <border>
      <left/>
      <right style="medium">
        <color rgb="FF7030A0"/>
      </right>
      <top/>
      <bottom style="double">
        <color indexed="64"/>
      </bottom>
      <diagonal/>
    </border>
    <border>
      <left/>
      <right style="medium">
        <color theme="4"/>
      </right>
      <top/>
      <bottom style="double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0">
    <xf numFmtId="0" fontId="0" fillId="0" borderId="0" xfId="0"/>
    <xf numFmtId="0" fontId="4" fillId="4" borderId="0" xfId="0" applyFont="1" applyFill="1"/>
    <xf numFmtId="0" fontId="5" fillId="5" borderId="1" xfId="0" applyFont="1" applyFill="1" applyBorder="1"/>
    <xf numFmtId="0" fontId="4" fillId="6" borderId="2" xfId="0" applyFont="1" applyFill="1" applyBorder="1"/>
    <xf numFmtId="0" fontId="4" fillId="6" borderId="3" xfId="0" applyFont="1" applyFill="1" applyBorder="1"/>
    <xf numFmtId="0" fontId="5" fillId="5" borderId="4" xfId="0" applyFont="1" applyFill="1" applyBorder="1"/>
    <xf numFmtId="0" fontId="5" fillId="5" borderId="5" xfId="0" applyFont="1" applyFill="1" applyBorder="1"/>
    <xf numFmtId="0" fontId="1" fillId="7" borderId="0" xfId="0" applyFont="1" applyFill="1"/>
    <xf numFmtId="164" fontId="6" fillId="0" borderId="0" xfId="0" applyNumberFormat="1" applyFont="1"/>
    <xf numFmtId="0" fontId="6" fillId="3" borderId="6" xfId="0" applyFont="1" applyFill="1" applyBorder="1"/>
    <xf numFmtId="165" fontId="0" fillId="3" borderId="0" xfId="0" applyNumberFormat="1" applyFill="1"/>
    <xf numFmtId="10" fontId="0" fillId="3" borderId="0" xfId="0" applyNumberFormat="1" applyFill="1"/>
    <xf numFmtId="165" fontId="1" fillId="3" borderId="0" xfId="0" applyNumberFormat="1" applyFont="1" applyFill="1"/>
    <xf numFmtId="165" fontId="6" fillId="8" borderId="6" xfId="0" applyNumberFormat="1" applyFont="1" applyFill="1" applyBorder="1"/>
    <xf numFmtId="165" fontId="0" fillId="0" borderId="0" xfId="0" applyNumberFormat="1"/>
    <xf numFmtId="166" fontId="1" fillId="3" borderId="0" xfId="0" applyNumberFormat="1" applyFont="1" applyFill="1"/>
    <xf numFmtId="10" fontId="1" fillId="0" borderId="0" xfId="0" applyNumberFormat="1" applyFont="1"/>
    <xf numFmtId="166" fontId="1" fillId="3" borderId="7" xfId="0" applyNumberFormat="1" applyFont="1" applyFill="1" applyBorder="1"/>
    <xf numFmtId="10" fontId="0" fillId="0" borderId="8" xfId="0" applyNumberFormat="1" applyBorder="1"/>
    <xf numFmtId="10" fontId="6" fillId="0" borderId="0" xfId="0" applyNumberFormat="1" applyFont="1"/>
    <xf numFmtId="10" fontId="6" fillId="5" borderId="9" xfId="0" applyNumberFormat="1" applyFont="1" applyFill="1" applyBorder="1"/>
    <xf numFmtId="0" fontId="1" fillId="0" borderId="0" xfId="0" applyFont="1"/>
    <xf numFmtId="0" fontId="1" fillId="3" borderId="0" xfId="0" applyFont="1" applyFill="1"/>
    <xf numFmtId="10" fontId="1" fillId="9" borderId="0" xfId="0" applyNumberFormat="1" applyFont="1" applyFill="1"/>
    <xf numFmtId="10" fontId="1" fillId="10" borderId="0" xfId="0" applyNumberFormat="1" applyFont="1" applyFill="1"/>
    <xf numFmtId="10" fontId="1" fillId="0" borderId="0" xfId="1" applyNumberFormat="1" applyFont="1" applyFill="1" applyBorder="1"/>
    <xf numFmtId="166" fontId="1" fillId="3" borderId="7" xfId="1" applyNumberFormat="1" applyFont="1" applyFill="1" applyBorder="1"/>
    <xf numFmtId="164" fontId="0" fillId="3" borderId="0" xfId="0" applyNumberFormat="1" applyFill="1"/>
    <xf numFmtId="166" fontId="0" fillId="3" borderId="0" xfId="0" applyNumberFormat="1" applyFill="1"/>
    <xf numFmtId="0" fontId="7" fillId="11" borderId="10" xfId="0" applyFont="1" applyFill="1" applyBorder="1"/>
    <xf numFmtId="0" fontId="8" fillId="11" borderId="11" xfId="0" applyFont="1" applyFill="1" applyBorder="1"/>
    <xf numFmtId="0" fontId="9" fillId="0" borderId="0" xfId="0" applyFont="1"/>
    <xf numFmtId="0" fontId="10" fillId="11" borderId="11" xfId="0" applyFont="1" applyFill="1" applyBorder="1"/>
    <xf numFmtId="0" fontId="11" fillId="11" borderId="12" xfId="0" applyFont="1" applyFill="1" applyBorder="1" applyAlignment="1">
      <alignment horizontal="left"/>
    </xf>
    <xf numFmtId="10" fontId="1" fillId="3" borderId="0" xfId="0" applyNumberFormat="1" applyFont="1" applyFill="1"/>
    <xf numFmtId="0" fontId="12" fillId="12" borderId="0" xfId="0" applyFont="1" applyFill="1" applyAlignment="1">
      <alignment horizontal="left"/>
    </xf>
    <xf numFmtId="0" fontId="14" fillId="13" borderId="0" xfId="0" applyFont="1" applyFill="1" applyAlignment="1">
      <alignment horizontal="left"/>
    </xf>
    <xf numFmtId="0" fontId="3" fillId="13" borderId="0" xfId="0" applyFont="1" applyFill="1" applyAlignment="1">
      <alignment horizontal="left"/>
    </xf>
    <xf numFmtId="0" fontId="3" fillId="13" borderId="13" xfId="0" applyFont="1" applyFill="1" applyBorder="1" applyAlignment="1">
      <alignment horizontal="left"/>
    </xf>
    <xf numFmtId="164" fontId="0" fillId="3" borderId="13" xfId="0" applyNumberFormat="1" applyFill="1" applyBorder="1"/>
    <xf numFmtId="0" fontId="6" fillId="3" borderId="14" xfId="0" applyFont="1" applyFill="1" applyBorder="1"/>
    <xf numFmtId="165" fontId="0" fillId="3" borderId="13" xfId="0" applyNumberFormat="1" applyFill="1" applyBorder="1"/>
    <xf numFmtId="10" fontId="0" fillId="3" borderId="13" xfId="0" applyNumberFormat="1" applyFill="1" applyBorder="1"/>
    <xf numFmtId="165" fontId="0" fillId="0" borderId="13" xfId="0" applyNumberFormat="1" applyBorder="1"/>
    <xf numFmtId="165" fontId="6" fillId="8" borderId="14" xfId="0" applyNumberFormat="1" applyFont="1" applyFill="1" applyBorder="1"/>
    <xf numFmtId="166" fontId="0" fillId="3" borderId="13" xfId="0" applyNumberFormat="1" applyFill="1" applyBorder="1"/>
    <xf numFmtId="10" fontId="1" fillId="0" borderId="13" xfId="1" applyNumberFormat="1" applyFont="1" applyFill="1" applyBorder="1"/>
    <xf numFmtId="166" fontId="1" fillId="3" borderId="15" xfId="1" applyNumberFormat="1" applyFont="1" applyFill="1" applyBorder="1"/>
    <xf numFmtId="10" fontId="0" fillId="0" borderId="16" xfId="0" applyNumberFormat="1" applyBorder="1"/>
    <xf numFmtId="10" fontId="6" fillId="0" borderId="13" xfId="0" applyNumberFormat="1" applyFont="1" applyBorder="1"/>
    <xf numFmtId="10" fontId="6" fillId="5" borderId="17" xfId="0" applyNumberFormat="1" applyFont="1" applyFill="1" applyBorder="1"/>
    <xf numFmtId="0" fontId="1" fillId="0" borderId="13" xfId="0" applyFont="1" applyBorder="1"/>
    <xf numFmtId="0" fontId="1" fillId="3" borderId="13" xfId="0" applyFont="1" applyFill="1" applyBorder="1"/>
    <xf numFmtId="10" fontId="1" fillId="9" borderId="13" xfId="0" applyNumberFormat="1" applyFont="1" applyFill="1" applyBorder="1"/>
    <xf numFmtId="10" fontId="1" fillId="10" borderId="13" xfId="0" applyNumberFormat="1" applyFont="1" applyFill="1" applyBorder="1"/>
    <xf numFmtId="10" fontId="1" fillId="0" borderId="13" xfId="0" applyNumberFormat="1" applyFont="1" applyBorder="1"/>
    <xf numFmtId="0" fontId="0" fillId="0" borderId="13" xfId="0" applyBorder="1"/>
    <xf numFmtId="0" fontId="15" fillId="0" borderId="0" xfId="0" applyFont="1"/>
    <xf numFmtId="0" fontId="16" fillId="0" borderId="0" xfId="0" applyFont="1"/>
    <xf numFmtId="0" fontId="1" fillId="0" borderId="0" xfId="0" applyFont="1" applyAlignment="1">
      <alignment horizontal="right"/>
    </xf>
    <xf numFmtId="165" fontId="15" fillId="13" borderId="0" xfId="0" applyNumberFormat="1" applyFont="1" applyFill="1"/>
    <xf numFmtId="165" fontId="6" fillId="0" borderId="0" xfId="0" applyNumberFormat="1" applyFont="1"/>
    <xf numFmtId="10" fontId="1" fillId="0" borderId="0" xfId="0" applyNumberFormat="1" applyFont="1" applyAlignment="1">
      <alignment horizontal="right"/>
    </xf>
    <xf numFmtId="165" fontId="4" fillId="14" borderId="0" xfId="0" applyNumberFormat="1" applyFont="1" applyFill="1"/>
    <xf numFmtId="165" fontId="6" fillId="15" borderId="0" xfId="0" applyNumberFormat="1" applyFont="1" applyFill="1"/>
    <xf numFmtId="10" fontId="4" fillId="0" borderId="0" xfId="0" applyNumberFormat="1" applyFont="1" applyAlignment="1">
      <alignment horizontal="right"/>
    </xf>
    <xf numFmtId="166" fontId="1" fillId="0" borderId="0" xfId="0" applyNumberFormat="1" applyFont="1"/>
    <xf numFmtId="10" fontId="6" fillId="0" borderId="0" xfId="0" applyNumberFormat="1" applyFont="1" applyAlignment="1">
      <alignment horizontal="right"/>
    </xf>
    <xf numFmtId="0" fontId="17" fillId="0" borderId="0" xfId="0" applyFont="1"/>
    <xf numFmtId="10" fontId="4" fillId="16" borderId="0" xfId="0" applyNumberFormat="1" applyFont="1" applyFill="1"/>
    <xf numFmtId="10" fontId="4" fillId="17" borderId="0" xfId="0" applyNumberFormat="1" applyFont="1" applyFill="1"/>
    <xf numFmtId="10" fontId="4" fillId="0" borderId="0" xfId="0" applyNumberFormat="1" applyFont="1"/>
    <xf numFmtId="0" fontId="3" fillId="0" borderId="0" xfId="0" applyFont="1"/>
    <xf numFmtId="165" fontId="15" fillId="7" borderId="0" xfId="0" applyNumberFormat="1" applyFont="1" applyFill="1"/>
    <xf numFmtId="4" fontId="5" fillId="0" borderId="0" xfId="0" applyNumberFormat="1" applyFont="1"/>
    <xf numFmtId="165" fontId="5" fillId="0" borderId="0" xfId="0" applyNumberFormat="1" applyFont="1"/>
    <xf numFmtId="0" fontId="15" fillId="0" borderId="0" xfId="0" applyFont="1" applyAlignment="1">
      <alignment horizontal="right"/>
    </xf>
    <xf numFmtId="10" fontId="15" fillId="0" borderId="0" xfId="0" applyNumberFormat="1" applyFont="1"/>
    <xf numFmtId="10" fontId="0" fillId="0" borderId="0" xfId="0" applyNumberFormat="1"/>
    <xf numFmtId="0" fontId="4" fillId="18" borderId="0" xfId="0" applyFont="1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6"/>
  <sheetViews>
    <sheetView topLeftCell="C1" zoomScale="130" zoomScaleNormal="130" workbookViewId="0">
      <selection activeCell="E25" sqref="E25"/>
    </sheetView>
  </sheetViews>
  <sheetFormatPr defaultRowHeight="14.5" x14ac:dyDescent="0.35"/>
  <cols>
    <col min="1" max="1" width="8.26953125" bestFit="1" customWidth="1"/>
    <col min="2" max="2" width="8.7265625" bestFit="1" customWidth="1"/>
    <col min="3" max="3" width="12.81640625" bestFit="1" customWidth="1"/>
    <col min="4" max="4" width="9.1796875" bestFit="1" customWidth="1"/>
    <col min="5" max="5" width="11.7265625" bestFit="1" customWidth="1"/>
    <col min="6" max="6" width="10.26953125" bestFit="1" customWidth="1"/>
    <col min="7" max="7" width="12.81640625" bestFit="1" customWidth="1"/>
    <col min="8" max="8" width="8.81640625" bestFit="1" customWidth="1"/>
    <col min="9" max="9" width="9.90625" bestFit="1" customWidth="1"/>
    <col min="10" max="10" width="11.81640625" bestFit="1" customWidth="1"/>
    <col min="11" max="11" width="11.6328125" bestFit="1" customWidth="1"/>
    <col min="12" max="12" width="15.7265625" bestFit="1" customWidth="1"/>
    <col min="13" max="13" width="8.81640625" bestFit="1" customWidth="1"/>
    <col min="14" max="14" width="11.54296875" bestFit="1" customWidth="1"/>
    <col min="15" max="16" width="13" bestFit="1" customWidth="1"/>
    <col min="17" max="17" width="17.453125" bestFit="1" customWidth="1"/>
    <col min="18" max="18" width="10.08984375" bestFit="1" customWidth="1"/>
    <col min="19" max="19" width="8.36328125" bestFit="1" customWidth="1"/>
    <col min="20" max="20" width="7.26953125" bestFit="1" customWidth="1"/>
    <col min="21" max="21" width="12.08984375" bestFit="1" customWidth="1"/>
    <col min="22" max="22" width="10.90625" bestFit="1" customWidth="1"/>
    <col min="23" max="23" width="12.08984375" bestFit="1" customWidth="1"/>
    <col min="24" max="24" width="12.90625" bestFit="1" customWidth="1"/>
    <col min="25" max="25" width="11.6328125" bestFit="1" customWidth="1"/>
    <col min="26" max="26" width="16.6328125" bestFit="1" customWidth="1"/>
    <col min="27" max="27" width="15.36328125" bestFit="1" customWidth="1"/>
    <col min="28" max="28" width="16.6328125" bestFit="1" customWidth="1"/>
    <col min="29" max="29" width="11.90625" bestFit="1" customWidth="1"/>
    <col min="30" max="30" width="100.36328125" bestFit="1" customWidth="1"/>
  </cols>
  <sheetData>
    <row r="1" spans="1:30" x14ac:dyDescent="0.35">
      <c r="A1" s="1" t="s">
        <v>26</v>
      </c>
      <c r="B1" s="1" t="s">
        <v>23</v>
      </c>
      <c r="C1" s="2" t="s">
        <v>24</v>
      </c>
      <c r="D1" s="1" t="s">
        <v>27</v>
      </c>
      <c r="E1" s="1" t="s">
        <v>25</v>
      </c>
      <c r="F1" s="1" t="s">
        <v>28</v>
      </c>
      <c r="G1" s="2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2" t="s">
        <v>34</v>
      </c>
      <c r="M1" s="1" t="s">
        <v>35</v>
      </c>
      <c r="N1" s="3" t="s">
        <v>36</v>
      </c>
      <c r="O1" s="4" t="s">
        <v>37</v>
      </c>
      <c r="P1" s="5" t="s">
        <v>38</v>
      </c>
      <c r="Q1" s="6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79" t="s">
        <v>47</v>
      </c>
      <c r="Y1" s="79" t="s">
        <v>48</v>
      </c>
      <c r="Z1" s="79" t="s">
        <v>49</v>
      </c>
      <c r="AA1" s="79" t="s">
        <v>50</v>
      </c>
      <c r="AB1" s="79" t="s">
        <v>51</v>
      </c>
      <c r="AC1" s="79" t="s">
        <v>52</v>
      </c>
      <c r="AD1" s="1" t="s">
        <v>46</v>
      </c>
    </row>
    <row r="2" spans="1:30" x14ac:dyDescent="0.35">
      <c r="A2" s="7" t="s">
        <v>53</v>
      </c>
      <c r="B2" s="8">
        <f>F2</f>
        <v>0</v>
      </c>
      <c r="C2" s="9">
        <v>0</v>
      </c>
      <c r="D2" s="10">
        <v>1</v>
      </c>
      <c r="E2" s="11">
        <v>3.39E-2</v>
      </c>
      <c r="F2" s="12">
        <v>0</v>
      </c>
      <c r="G2" s="13">
        <f t="shared" ref="G2:G14" si="0">(C2*D2)</f>
        <v>0</v>
      </c>
      <c r="H2" s="14">
        <f t="shared" ref="H2:H14" si="1">D2*E2</f>
        <v>3.39E-2</v>
      </c>
      <c r="I2" s="14">
        <f t="shared" ref="I2:I14" si="2">D2/H2</f>
        <v>29.498525073746315</v>
      </c>
      <c r="J2" s="15">
        <v>0</v>
      </c>
      <c r="K2" s="14">
        <f t="shared" ref="K2:K14" si="3">(B2*H2)</f>
        <v>0</v>
      </c>
      <c r="L2" s="13">
        <f t="shared" ref="L2:L14" si="4">C2*H2</f>
        <v>0</v>
      </c>
      <c r="M2" s="16">
        <f>F2/$F$15</f>
        <v>0</v>
      </c>
      <c r="N2" s="17">
        <v>0</v>
      </c>
      <c r="O2" s="18">
        <f t="shared" ref="O2:O14" si="5">M2-N2</f>
        <v>0</v>
      </c>
      <c r="P2" s="19">
        <f>(G2+F2)/F$16</f>
        <v>0</v>
      </c>
      <c r="Q2" s="20">
        <f t="shared" ref="Q2:Q14" si="6">P2-N2</f>
        <v>0</v>
      </c>
      <c r="R2" s="21" t="s">
        <v>0</v>
      </c>
      <c r="S2" s="22">
        <v>0</v>
      </c>
      <c r="T2" s="22">
        <v>0</v>
      </c>
      <c r="U2" s="22">
        <v>0</v>
      </c>
      <c r="V2" s="22">
        <v>0</v>
      </c>
      <c r="W2" s="22">
        <v>0</v>
      </c>
      <c r="X2" s="23">
        <f t="shared" ref="X2:X14" si="7">M2*S2</f>
        <v>0</v>
      </c>
      <c r="Y2" s="23">
        <f t="shared" ref="Y2:Y14" si="8">M2*T2</f>
        <v>0</v>
      </c>
      <c r="Z2" s="24">
        <f>$M2*U2</f>
        <v>0</v>
      </c>
      <c r="AA2" s="24">
        <f>$M2*V2</f>
        <v>0</v>
      </c>
      <c r="AB2" s="24">
        <f>$M2*W2</f>
        <v>0</v>
      </c>
      <c r="AC2" s="16">
        <f>U2+V2+W2</f>
        <v>0</v>
      </c>
      <c r="AD2" s="7" t="s">
        <v>20</v>
      </c>
    </row>
    <row r="3" spans="1:30" ht="15" thickBot="1" x14ac:dyDescent="0.4">
      <c r="A3" s="7" t="s">
        <v>1</v>
      </c>
      <c r="B3" s="8">
        <f>F3</f>
        <v>0</v>
      </c>
      <c r="C3" s="9">
        <v>0</v>
      </c>
      <c r="D3" s="10">
        <v>1</v>
      </c>
      <c r="E3" s="11">
        <v>3.39E-2</v>
      </c>
      <c r="F3" s="12">
        <v>0</v>
      </c>
      <c r="G3" s="13">
        <f t="shared" si="0"/>
        <v>0</v>
      </c>
      <c r="H3" s="14">
        <f t="shared" si="1"/>
        <v>3.39E-2</v>
      </c>
      <c r="I3" s="14">
        <f t="shared" si="2"/>
        <v>29.498525073746315</v>
      </c>
      <c r="J3" s="15">
        <v>0</v>
      </c>
      <c r="K3" s="14">
        <f t="shared" si="3"/>
        <v>0</v>
      </c>
      <c r="L3" s="13">
        <f t="shared" si="4"/>
        <v>0</v>
      </c>
      <c r="M3" s="25">
        <f>F3/$F$15</f>
        <v>0</v>
      </c>
      <c r="N3" s="26">
        <v>0</v>
      </c>
      <c r="O3" s="18">
        <f t="shared" si="5"/>
        <v>0</v>
      </c>
      <c r="P3" s="19">
        <f>(G3+F3)/F$16</f>
        <v>0</v>
      </c>
      <c r="Q3" s="20">
        <f t="shared" si="6"/>
        <v>0</v>
      </c>
      <c r="R3" s="21" t="s">
        <v>0</v>
      </c>
      <c r="S3" s="22">
        <v>0</v>
      </c>
      <c r="T3" s="22">
        <v>0</v>
      </c>
      <c r="U3" s="22">
        <v>0</v>
      </c>
      <c r="V3" s="22">
        <v>0</v>
      </c>
      <c r="W3" s="22">
        <v>0</v>
      </c>
      <c r="X3" s="23">
        <f t="shared" si="7"/>
        <v>0</v>
      </c>
      <c r="Y3" s="23">
        <f t="shared" si="8"/>
        <v>0</v>
      </c>
      <c r="Z3" s="24">
        <f t="shared" ref="Z3:AB14" si="9">$M3*U3</f>
        <v>0</v>
      </c>
      <c r="AA3" s="24">
        <f t="shared" si="9"/>
        <v>0</v>
      </c>
      <c r="AB3" s="24">
        <f t="shared" si="9"/>
        <v>0</v>
      </c>
      <c r="AC3" s="16">
        <f t="shared" ref="AC3:AC14" si="10">U3+V3+W3</f>
        <v>0</v>
      </c>
      <c r="AD3" s="7" t="s">
        <v>21</v>
      </c>
    </row>
    <row r="4" spans="1:30" x14ac:dyDescent="0.35">
      <c r="A4" s="29" t="s">
        <v>4</v>
      </c>
      <c r="B4" s="27">
        <v>4</v>
      </c>
      <c r="C4" s="9">
        <v>4</v>
      </c>
      <c r="D4" s="10">
        <v>183.47</v>
      </c>
      <c r="E4" s="11">
        <v>4.5999999999999999E-3</v>
      </c>
      <c r="F4" s="14">
        <f>(B4*D4)</f>
        <v>733.88</v>
      </c>
      <c r="G4" s="13">
        <f>(C4*D4)</f>
        <v>733.88</v>
      </c>
      <c r="H4" s="14">
        <f>D4*E4</f>
        <v>0.84396199999999999</v>
      </c>
      <c r="I4" s="14">
        <f>D4/H4</f>
        <v>217.39130434782609</v>
      </c>
      <c r="J4" s="28">
        <v>8.0000000000000004E-4</v>
      </c>
      <c r="K4" s="14">
        <f>(B4*H4)</f>
        <v>3.375848</v>
      </c>
      <c r="L4" s="13">
        <f>C4*H4</f>
        <v>3.375848</v>
      </c>
      <c r="M4" s="25">
        <f>F4/$F$15</f>
        <v>3.7392682268180953E-2</v>
      </c>
      <c r="N4" s="26">
        <v>0.12</v>
      </c>
      <c r="O4" s="18">
        <f>M4-N4</f>
        <v>-8.2607317731819035E-2</v>
      </c>
      <c r="P4" s="19">
        <f>(G4+F4)/F$16</f>
        <v>5.9013398392707507E-2</v>
      </c>
      <c r="Q4" s="20">
        <f>P4-N4</f>
        <v>-6.0986601607292489E-2</v>
      </c>
      <c r="R4" s="21" t="s">
        <v>2</v>
      </c>
      <c r="S4" s="22">
        <v>1</v>
      </c>
      <c r="T4" s="22">
        <v>3.5000000000000003E-2</v>
      </c>
      <c r="U4" s="22">
        <v>0.91500000000000004</v>
      </c>
      <c r="V4" s="22">
        <v>0.08</v>
      </c>
      <c r="W4" s="22">
        <v>4.8999999999999998E-3</v>
      </c>
      <c r="X4" s="23">
        <f>M4*S4</f>
        <v>3.7392682268180953E-2</v>
      </c>
      <c r="Y4" s="23">
        <f>M4*T4</f>
        <v>1.3087438793863335E-3</v>
      </c>
      <c r="Z4" s="24">
        <f t="shared" si="9"/>
        <v>3.4214304275385576E-2</v>
      </c>
      <c r="AA4" s="24">
        <f t="shared" si="9"/>
        <v>2.9914145814544761E-3</v>
      </c>
      <c r="AB4" s="24">
        <f t="shared" si="9"/>
        <v>1.8322414311408667E-4</v>
      </c>
      <c r="AC4" s="16">
        <f>U4+V4+W4</f>
        <v>0.99990000000000001</v>
      </c>
      <c r="AD4" s="21" t="s">
        <v>3</v>
      </c>
    </row>
    <row r="5" spans="1:30" x14ac:dyDescent="0.35">
      <c r="A5" s="30" t="s">
        <v>54</v>
      </c>
      <c r="B5" s="27">
        <v>2</v>
      </c>
      <c r="C5" s="9">
        <v>2</v>
      </c>
      <c r="D5" s="10">
        <v>140.88999999999999</v>
      </c>
      <c r="E5" s="11">
        <v>7.7999999999999996E-3</v>
      </c>
      <c r="F5" s="14">
        <f t="shared" ref="F5:F14" si="11">(B5*D5)</f>
        <v>281.77999999999997</v>
      </c>
      <c r="G5" s="13">
        <f t="shared" si="0"/>
        <v>281.77999999999997</v>
      </c>
      <c r="H5" s="14">
        <f t="shared" si="1"/>
        <v>1.0989419999999999</v>
      </c>
      <c r="I5" s="14">
        <f t="shared" si="2"/>
        <v>128.2051282051282</v>
      </c>
      <c r="J5" s="28">
        <v>1.2999999999999999E-3</v>
      </c>
      <c r="K5" s="14">
        <f t="shared" si="3"/>
        <v>2.1978839999999997</v>
      </c>
      <c r="L5" s="13">
        <f t="shared" si="4"/>
        <v>2.1978839999999997</v>
      </c>
      <c r="M5" s="25">
        <f>F5/$F$15</f>
        <v>1.4357265505979218E-2</v>
      </c>
      <c r="N5" s="26">
        <v>0</v>
      </c>
      <c r="O5" s="18">
        <f t="shared" si="5"/>
        <v>1.4357265505979218E-2</v>
      </c>
      <c r="P5" s="19">
        <f>(G5+F5)/F$16</f>
        <v>2.2658739029673951E-2</v>
      </c>
      <c r="Q5" s="20">
        <f t="shared" si="6"/>
        <v>2.2658739029673951E-2</v>
      </c>
      <c r="R5" s="21" t="s">
        <v>2</v>
      </c>
      <c r="S5" s="22">
        <v>0.51529999999999998</v>
      </c>
      <c r="T5" s="22">
        <v>2.58E-2</v>
      </c>
      <c r="U5" s="22">
        <v>0.89170000000000005</v>
      </c>
      <c r="V5" s="22">
        <v>0.10440000000000001</v>
      </c>
      <c r="W5" s="22">
        <v>4.1000000000000003E-3</v>
      </c>
      <c r="X5" s="23">
        <f t="shared" si="7"/>
        <v>7.3982989152310908E-3</v>
      </c>
      <c r="Y5" s="23">
        <f t="shared" si="8"/>
        <v>3.7041745005426382E-4</v>
      </c>
      <c r="Z5" s="24">
        <f t="shared" si="9"/>
        <v>1.2802373651681669E-2</v>
      </c>
      <c r="AA5" s="24">
        <f t="shared" si="9"/>
        <v>1.4988985188242303E-3</v>
      </c>
      <c r="AB5" s="24">
        <f t="shared" si="9"/>
        <v>5.8864788574514801E-5</v>
      </c>
      <c r="AC5" s="16">
        <f t="shared" si="10"/>
        <v>1.0002000000000002</v>
      </c>
      <c r="AD5" s="21" t="s">
        <v>5</v>
      </c>
    </row>
    <row r="6" spans="1:30" x14ac:dyDescent="0.35">
      <c r="A6" s="30" t="s">
        <v>6</v>
      </c>
      <c r="B6" s="27">
        <v>16</v>
      </c>
      <c r="C6" s="9">
        <v>16</v>
      </c>
      <c r="D6" s="10">
        <v>35.21</v>
      </c>
      <c r="E6" s="11">
        <v>3.8999999999999998E-3</v>
      </c>
      <c r="F6" s="14">
        <f t="shared" si="11"/>
        <v>563.36</v>
      </c>
      <c r="G6" s="13">
        <f t="shared" si="0"/>
        <v>563.36</v>
      </c>
      <c r="H6" s="14">
        <f t="shared" si="1"/>
        <v>0.137319</v>
      </c>
      <c r="I6" s="14">
        <f t="shared" si="2"/>
        <v>256.41025641025641</v>
      </c>
      <c r="J6" s="28">
        <v>4.0000000000000002E-4</v>
      </c>
      <c r="K6" s="14">
        <f t="shared" si="3"/>
        <v>2.1971039999999999</v>
      </c>
      <c r="L6" s="13">
        <f t="shared" si="4"/>
        <v>2.1971039999999999</v>
      </c>
      <c r="M6" s="25">
        <f>F6/$F$15</f>
        <v>2.8704340604189273E-2</v>
      </c>
      <c r="N6" s="26">
        <v>0.16</v>
      </c>
      <c r="O6" s="18">
        <f t="shared" si="5"/>
        <v>-0.13129565939581073</v>
      </c>
      <c r="P6" s="19">
        <f>(G6+F6)/F$16</f>
        <v>4.5301395484978066E-2</v>
      </c>
      <c r="Q6" s="20">
        <f t="shared" si="6"/>
        <v>-0.11469860451502194</v>
      </c>
      <c r="R6" s="21" t="s">
        <v>2</v>
      </c>
      <c r="S6" s="22">
        <v>0.46</v>
      </c>
      <c r="T6" s="22">
        <v>2.9000000000000001E-2</v>
      </c>
      <c r="U6" s="22">
        <v>0.86099999999999999</v>
      </c>
      <c r="V6" s="22">
        <v>0.1258</v>
      </c>
      <c r="W6" s="22">
        <v>1.3299999999999999E-2</v>
      </c>
      <c r="X6" s="23">
        <f t="shared" si="7"/>
        <v>1.3203996677927066E-2</v>
      </c>
      <c r="Y6" s="23">
        <f t="shared" si="8"/>
        <v>8.3242587752148899E-4</v>
      </c>
      <c r="Z6" s="24">
        <f t="shared" si="9"/>
        <v>2.4714437260206962E-2</v>
      </c>
      <c r="AA6" s="24">
        <f t="shared" si="9"/>
        <v>3.6110060480070106E-3</v>
      </c>
      <c r="AB6" s="24">
        <f t="shared" si="9"/>
        <v>3.817677300357173E-4</v>
      </c>
      <c r="AC6" s="16">
        <f t="shared" si="10"/>
        <v>1.0001</v>
      </c>
      <c r="AD6" s="31" t="s">
        <v>7</v>
      </c>
    </row>
    <row r="7" spans="1:30" x14ac:dyDescent="0.35">
      <c r="A7" s="32" t="s">
        <v>8</v>
      </c>
      <c r="B7" s="27">
        <v>200</v>
      </c>
      <c r="C7" s="9">
        <v>40</v>
      </c>
      <c r="D7" s="10">
        <v>29.28</v>
      </c>
      <c r="E7" s="11">
        <v>1.0500000000000001E-2</v>
      </c>
      <c r="F7" s="14">
        <f t="shared" si="11"/>
        <v>5856</v>
      </c>
      <c r="G7" s="13">
        <f t="shared" si="0"/>
        <v>1171.2</v>
      </c>
      <c r="H7" s="14">
        <f t="shared" si="1"/>
        <v>0.30744000000000005</v>
      </c>
      <c r="I7" s="14">
        <f t="shared" si="2"/>
        <v>95.238095238095227</v>
      </c>
      <c r="J7" s="28">
        <v>2.9999999999999997E-4</v>
      </c>
      <c r="K7" s="14">
        <f t="shared" si="3"/>
        <v>61.488000000000007</v>
      </c>
      <c r="L7" s="13">
        <f t="shared" si="4"/>
        <v>12.297600000000003</v>
      </c>
      <c r="M7" s="25">
        <f>F7/$F$15</f>
        <v>0.29837513948120631</v>
      </c>
      <c r="N7" s="26">
        <v>0.24</v>
      </c>
      <c r="O7" s="18">
        <f t="shared" si="5"/>
        <v>5.8375139481206317E-2</v>
      </c>
      <c r="P7" s="19">
        <f>(G7+F7)/F$16</f>
        <v>0.28253866652942866</v>
      </c>
      <c r="Q7" s="20">
        <f t="shared" si="6"/>
        <v>4.253866652942867E-2</v>
      </c>
      <c r="R7" s="21" t="s">
        <v>2</v>
      </c>
      <c r="S7" s="22">
        <v>0.33329999999999999</v>
      </c>
      <c r="T7" s="22">
        <v>7.4999999999999997E-2</v>
      </c>
      <c r="U7" s="22">
        <v>0.73160000000000003</v>
      </c>
      <c r="V7" s="22">
        <v>0.1883</v>
      </c>
      <c r="W7" s="22">
        <v>8.0100000000000005E-2</v>
      </c>
      <c r="X7" s="23">
        <f t="shared" si="7"/>
        <v>9.9448433989086052E-2</v>
      </c>
      <c r="Y7" s="23">
        <f t="shared" si="8"/>
        <v>2.2378135461090472E-2</v>
      </c>
      <c r="Z7" s="24">
        <f t="shared" si="9"/>
        <v>0.21829125204445055</v>
      </c>
      <c r="AA7" s="24">
        <f t="shared" si="9"/>
        <v>5.6184038764311148E-2</v>
      </c>
      <c r="AB7" s="24">
        <f t="shared" si="9"/>
        <v>2.3899848672444626E-2</v>
      </c>
      <c r="AC7" s="16">
        <f t="shared" si="10"/>
        <v>1</v>
      </c>
      <c r="AD7" s="21" t="s">
        <v>9</v>
      </c>
    </row>
    <row r="8" spans="1:30" ht="15" thickBot="1" x14ac:dyDescent="0.4">
      <c r="A8" s="33" t="s">
        <v>10</v>
      </c>
      <c r="B8" s="27">
        <v>240</v>
      </c>
      <c r="C8" s="9">
        <v>40</v>
      </c>
      <c r="D8" s="10">
        <v>26.93</v>
      </c>
      <c r="E8" s="34">
        <v>3.1300000000000001E-2</v>
      </c>
      <c r="F8" s="14">
        <f t="shared" si="11"/>
        <v>6463.2</v>
      </c>
      <c r="G8" s="13">
        <f t="shared" si="0"/>
        <v>1077.2</v>
      </c>
      <c r="H8" s="14">
        <f t="shared" si="1"/>
        <v>0.84290900000000002</v>
      </c>
      <c r="I8" s="14">
        <f t="shared" si="2"/>
        <v>31.948881789137378</v>
      </c>
      <c r="J8" s="28">
        <v>2.9999999999999997E-4</v>
      </c>
      <c r="K8" s="14">
        <f t="shared" si="3"/>
        <v>202.29816</v>
      </c>
      <c r="L8" s="13">
        <f t="shared" si="4"/>
        <v>33.716360000000002</v>
      </c>
      <c r="M8" s="25">
        <f>F8/$F$15</f>
        <v>0.32931321746839692</v>
      </c>
      <c r="N8" s="26">
        <v>0.28000000000000003</v>
      </c>
      <c r="O8" s="18">
        <f t="shared" si="5"/>
        <v>4.9313217468396897E-2</v>
      </c>
      <c r="P8" s="19">
        <f>(G8+F8)/F$16</f>
        <v>0.30317260944593916</v>
      </c>
      <c r="Q8" s="20">
        <f t="shared" si="6"/>
        <v>2.317260944593913E-2</v>
      </c>
      <c r="R8" s="21" t="s">
        <v>11</v>
      </c>
      <c r="S8" s="22">
        <v>0.17599999999999999</v>
      </c>
      <c r="T8" s="22">
        <v>1</v>
      </c>
      <c r="U8" s="22">
        <v>0.86140000000000005</v>
      </c>
      <c r="V8" s="22">
        <v>0.13600000000000001</v>
      </c>
      <c r="W8" s="22">
        <v>2.7000000000000001E-3</v>
      </c>
      <c r="X8" s="23">
        <f t="shared" si="7"/>
        <v>5.7959126274437854E-2</v>
      </c>
      <c r="Y8" s="23">
        <f t="shared" si="8"/>
        <v>0.32931321746839692</v>
      </c>
      <c r="Z8" s="24">
        <f t="shared" si="9"/>
        <v>0.28367040552727713</v>
      </c>
      <c r="AA8" s="24">
        <f t="shared" si="9"/>
        <v>4.4786597575701984E-2</v>
      </c>
      <c r="AB8" s="24">
        <f t="shared" si="9"/>
        <v>8.8914568716467178E-4</v>
      </c>
      <c r="AC8" s="16">
        <f t="shared" si="10"/>
        <v>1.0001</v>
      </c>
      <c r="AD8" s="21" t="s">
        <v>12</v>
      </c>
    </row>
    <row r="9" spans="1:30" x14ac:dyDescent="0.35">
      <c r="A9" s="35" t="s">
        <v>13</v>
      </c>
      <c r="B9" s="27">
        <v>16</v>
      </c>
      <c r="C9" s="9">
        <v>4</v>
      </c>
      <c r="D9" s="10">
        <v>34.35</v>
      </c>
      <c r="E9" s="11">
        <v>3.0700000000000002E-2</v>
      </c>
      <c r="F9" s="14">
        <f t="shared" si="11"/>
        <v>549.6</v>
      </c>
      <c r="G9" s="13">
        <f t="shared" si="0"/>
        <v>137.4</v>
      </c>
      <c r="H9" s="14">
        <f t="shared" si="1"/>
        <v>1.0545450000000001</v>
      </c>
      <c r="I9" s="14">
        <f t="shared" si="2"/>
        <v>32.573289902280131</v>
      </c>
      <c r="J9" s="28">
        <v>5.9999999999999995E-4</v>
      </c>
      <c r="K9" s="14">
        <f t="shared" si="3"/>
        <v>16.872720000000001</v>
      </c>
      <c r="L9" s="13">
        <f t="shared" si="4"/>
        <v>4.2181800000000003</v>
      </c>
      <c r="M9" s="25">
        <f>F9/$F$15</f>
        <v>2.8003240549670592E-2</v>
      </c>
      <c r="N9" s="26">
        <v>0.04</v>
      </c>
      <c r="O9" s="18">
        <f t="shared" si="5"/>
        <v>-1.1996759450329408E-2</v>
      </c>
      <c r="P9" s="19">
        <f>(G9+F9)/F$16</f>
        <v>2.7621821480207975E-2</v>
      </c>
      <c r="Q9" s="20">
        <f t="shared" si="6"/>
        <v>-1.2378178519792025E-2</v>
      </c>
      <c r="R9" s="21" t="s">
        <v>2</v>
      </c>
      <c r="S9" s="22">
        <v>1.7000000000000001E-2</v>
      </c>
      <c r="T9" s="22">
        <v>0</v>
      </c>
      <c r="U9" s="22">
        <v>0.73440000000000005</v>
      </c>
      <c r="V9" s="22">
        <v>0.22159999999999999</v>
      </c>
      <c r="W9" s="22">
        <v>4.41E-2</v>
      </c>
      <c r="X9" s="23">
        <f t="shared" si="7"/>
        <v>4.7605508934440012E-4</v>
      </c>
      <c r="Y9" s="23">
        <f t="shared" si="8"/>
        <v>0</v>
      </c>
      <c r="Z9" s="24">
        <f t="shared" si="9"/>
        <v>2.0565579859678086E-2</v>
      </c>
      <c r="AA9" s="24">
        <f t="shared" si="9"/>
        <v>6.2055181058070031E-3</v>
      </c>
      <c r="AB9" s="24">
        <f t="shared" si="9"/>
        <v>1.2349429082404732E-3</v>
      </c>
      <c r="AC9" s="16">
        <f t="shared" si="10"/>
        <v>1.0001</v>
      </c>
      <c r="AD9" s="21" t="s">
        <v>19</v>
      </c>
    </row>
    <row r="10" spans="1:30" x14ac:dyDescent="0.35">
      <c r="A10" s="35" t="s">
        <v>14</v>
      </c>
      <c r="B10" s="27">
        <v>8</v>
      </c>
      <c r="C10" s="9">
        <v>4</v>
      </c>
      <c r="D10" s="10">
        <v>102.01</v>
      </c>
      <c r="E10" s="11">
        <v>3.6499999999999998E-2</v>
      </c>
      <c r="F10" s="14">
        <f t="shared" si="11"/>
        <v>816.08</v>
      </c>
      <c r="G10" s="13">
        <f t="shared" si="0"/>
        <v>408.04</v>
      </c>
      <c r="H10" s="14">
        <f t="shared" si="1"/>
        <v>3.7233649999999998</v>
      </c>
      <c r="I10" s="14">
        <f t="shared" si="2"/>
        <v>27.397260273972606</v>
      </c>
      <c r="J10" s="28">
        <v>6.9999999999999999E-4</v>
      </c>
      <c r="K10" s="14">
        <f t="shared" si="3"/>
        <v>29.786919999999999</v>
      </c>
      <c r="L10" s="13">
        <f t="shared" si="4"/>
        <v>14.893459999999999</v>
      </c>
      <c r="M10" s="25">
        <f>F10/$F$15</f>
        <v>4.158093986130855E-2</v>
      </c>
      <c r="N10" s="26">
        <v>0.02</v>
      </c>
      <c r="O10" s="18">
        <f t="shared" si="5"/>
        <v>2.1580939861308549E-2</v>
      </c>
      <c r="P10" s="19">
        <f>(G10+F10)/F$16</f>
        <v>4.9217502344035213E-2</v>
      </c>
      <c r="Q10" s="20">
        <f t="shared" si="6"/>
        <v>2.9217502344035213E-2</v>
      </c>
      <c r="R10" s="21" t="s">
        <v>2</v>
      </c>
      <c r="S10" s="22">
        <v>5.3999999999999999E-2</v>
      </c>
      <c r="T10" s="22">
        <v>1</v>
      </c>
      <c r="U10" s="22">
        <v>0.84</v>
      </c>
      <c r="V10" s="22">
        <v>0.13</v>
      </c>
      <c r="W10" s="22">
        <v>0.01</v>
      </c>
      <c r="X10" s="23">
        <f t="shared" si="7"/>
        <v>2.2453707525106619E-3</v>
      </c>
      <c r="Y10" s="23">
        <f t="shared" si="8"/>
        <v>4.158093986130855E-2</v>
      </c>
      <c r="Z10" s="24">
        <f t="shared" si="9"/>
        <v>3.4927989483499178E-2</v>
      </c>
      <c r="AA10" s="24">
        <f t="shared" si="9"/>
        <v>5.405522181970112E-3</v>
      </c>
      <c r="AB10" s="24">
        <f t="shared" si="9"/>
        <v>4.1580939861308552E-4</v>
      </c>
      <c r="AC10" s="16">
        <f t="shared" si="10"/>
        <v>0.98</v>
      </c>
      <c r="AD10" s="21" t="s">
        <v>22</v>
      </c>
    </row>
    <row r="11" spans="1:30" x14ac:dyDescent="0.35">
      <c r="A11" s="36" t="s">
        <v>15</v>
      </c>
      <c r="B11" s="27">
        <v>20</v>
      </c>
      <c r="C11" s="9">
        <v>4</v>
      </c>
      <c r="D11" s="10">
        <v>55.55</v>
      </c>
      <c r="E11" s="11">
        <v>0.1038</v>
      </c>
      <c r="F11" s="14">
        <f t="shared" si="11"/>
        <v>1111</v>
      </c>
      <c r="G11" s="13">
        <f t="shared" si="0"/>
        <v>222.2</v>
      </c>
      <c r="H11" s="14">
        <f t="shared" si="1"/>
        <v>5.7660900000000002</v>
      </c>
      <c r="I11" s="14">
        <f t="shared" si="2"/>
        <v>9.6339113680154131</v>
      </c>
      <c r="J11" s="28">
        <v>2.8999999999999998E-3</v>
      </c>
      <c r="K11" s="14">
        <f t="shared" si="3"/>
        <v>115.3218</v>
      </c>
      <c r="L11" s="13">
        <f t="shared" si="4"/>
        <v>23.064360000000001</v>
      </c>
      <c r="M11" s="25">
        <f>F11/$F$15</f>
        <v>5.6607715157722026E-2</v>
      </c>
      <c r="N11" s="26">
        <v>0.02</v>
      </c>
      <c r="O11" s="18">
        <f t="shared" si="5"/>
        <v>3.6607715157722029E-2</v>
      </c>
      <c r="P11" s="19">
        <f>(G11+F11)/F$16</f>
        <v>5.3603220374691812E-2</v>
      </c>
      <c r="Q11" s="20">
        <f t="shared" si="6"/>
        <v>3.3603220374691808E-2</v>
      </c>
      <c r="R11" s="21" t="s">
        <v>0</v>
      </c>
      <c r="S11" s="22">
        <v>0.59819999999999995</v>
      </c>
      <c r="T11" s="22">
        <v>3.8600000000000002E-2</v>
      </c>
      <c r="U11" s="22">
        <v>0.8629</v>
      </c>
      <c r="V11" s="22">
        <v>0.1371</v>
      </c>
      <c r="W11" s="22">
        <v>0</v>
      </c>
      <c r="X11" s="23">
        <f t="shared" si="7"/>
        <v>3.3862735207349316E-2</v>
      </c>
      <c r="Y11" s="23">
        <f t="shared" si="8"/>
        <v>2.1850578050880702E-3</v>
      </c>
      <c r="Z11" s="24">
        <f t="shared" si="9"/>
        <v>4.8846797409598339E-2</v>
      </c>
      <c r="AA11" s="24">
        <f t="shared" si="9"/>
        <v>7.7609177481236897E-3</v>
      </c>
      <c r="AB11" s="24">
        <f t="shared" si="9"/>
        <v>0</v>
      </c>
      <c r="AC11" s="16">
        <f t="shared" si="10"/>
        <v>1</v>
      </c>
      <c r="AD11" s="21"/>
    </row>
    <row r="12" spans="1:30" x14ac:dyDescent="0.35">
      <c r="A12" s="36" t="s">
        <v>16</v>
      </c>
      <c r="B12" s="27">
        <v>20</v>
      </c>
      <c r="C12" s="9">
        <v>4</v>
      </c>
      <c r="D12" s="10">
        <v>55.6</v>
      </c>
      <c r="E12" s="11">
        <v>8.2500000000000004E-2</v>
      </c>
      <c r="F12" s="14">
        <f t="shared" si="11"/>
        <v>1112</v>
      </c>
      <c r="G12" s="13">
        <f t="shared" si="0"/>
        <v>222.4</v>
      </c>
      <c r="H12" s="14">
        <f t="shared" si="1"/>
        <v>4.5870000000000006</v>
      </c>
      <c r="I12" s="14">
        <f t="shared" si="2"/>
        <v>12.121212121212119</v>
      </c>
      <c r="J12" s="28">
        <v>2.8999999999999998E-3</v>
      </c>
      <c r="K12" s="14">
        <f t="shared" si="3"/>
        <v>91.740000000000009</v>
      </c>
      <c r="L12" s="13">
        <f t="shared" si="4"/>
        <v>18.348000000000003</v>
      </c>
      <c r="M12" s="25">
        <f>F12/$F$15</f>
        <v>5.6658667196567862E-2</v>
      </c>
      <c r="N12" s="26">
        <v>0.02</v>
      </c>
      <c r="O12" s="18">
        <f t="shared" si="5"/>
        <v>3.6658667196567865E-2</v>
      </c>
      <c r="P12" s="19">
        <f>(G12+F12)/F$16</f>
        <v>5.3651468097801351E-2</v>
      </c>
      <c r="Q12" s="20">
        <f t="shared" si="6"/>
        <v>3.3651468097801354E-2</v>
      </c>
      <c r="R12" s="21" t="s">
        <v>0</v>
      </c>
      <c r="S12" s="22">
        <v>0.38529999999999998</v>
      </c>
      <c r="T12" s="22">
        <v>4.9000000000000002E-2</v>
      </c>
      <c r="U12" s="22">
        <v>0.78900000000000003</v>
      </c>
      <c r="V12" s="22">
        <v>0.19989999999999999</v>
      </c>
      <c r="W12" s="22">
        <v>1.0999999999999999E-2</v>
      </c>
      <c r="X12" s="23">
        <f t="shared" si="7"/>
        <v>2.1830584470837595E-2</v>
      </c>
      <c r="Y12" s="23">
        <f t="shared" si="8"/>
        <v>2.7762746926318252E-3</v>
      </c>
      <c r="Z12" s="24">
        <f t="shared" si="9"/>
        <v>4.4703688418092045E-2</v>
      </c>
      <c r="AA12" s="24">
        <f t="shared" si="9"/>
        <v>1.1326067572593915E-2</v>
      </c>
      <c r="AB12" s="24">
        <f t="shared" si="9"/>
        <v>6.2324533916224649E-4</v>
      </c>
      <c r="AC12" s="16">
        <f t="shared" si="10"/>
        <v>0.99990000000000001</v>
      </c>
      <c r="AD12" s="21"/>
    </row>
    <row r="13" spans="1:30" x14ac:dyDescent="0.35">
      <c r="A13" s="37" t="s">
        <v>17</v>
      </c>
      <c r="B13" s="27">
        <v>20</v>
      </c>
      <c r="C13" s="9">
        <v>4</v>
      </c>
      <c r="D13" s="10">
        <v>53.62</v>
      </c>
      <c r="E13" s="11">
        <v>0.14249999999999999</v>
      </c>
      <c r="F13" s="14">
        <f t="shared" si="11"/>
        <v>1072.3999999999999</v>
      </c>
      <c r="G13" s="13">
        <f t="shared" si="0"/>
        <v>214.48</v>
      </c>
      <c r="H13" s="14">
        <f t="shared" si="1"/>
        <v>7.6408499999999986</v>
      </c>
      <c r="I13" s="14">
        <f t="shared" si="2"/>
        <v>7.0175438596491242</v>
      </c>
      <c r="J13" s="28">
        <v>6.7999999999999996E-3</v>
      </c>
      <c r="K13" s="14">
        <f t="shared" si="3"/>
        <v>152.81699999999998</v>
      </c>
      <c r="L13" s="13">
        <f t="shared" si="4"/>
        <v>30.563399999999994</v>
      </c>
      <c r="M13" s="25">
        <f>F13/$F$15</f>
        <v>5.4640966458272815E-2</v>
      </c>
      <c r="N13" s="26">
        <v>0</v>
      </c>
      <c r="O13" s="18">
        <f t="shared" si="5"/>
        <v>5.4640966458272815E-2</v>
      </c>
      <c r="P13" s="19">
        <f>(G13+F13)/F$16</f>
        <v>5.1740858262663808E-2</v>
      </c>
      <c r="Q13" s="20">
        <f t="shared" si="6"/>
        <v>5.1740858262663808E-2</v>
      </c>
      <c r="R13" s="21" t="s">
        <v>0</v>
      </c>
      <c r="S13" s="22">
        <v>0.59</v>
      </c>
      <c r="T13" s="22">
        <v>2.5999999999999999E-2</v>
      </c>
      <c r="U13" s="22"/>
      <c r="V13" s="22"/>
      <c r="W13" s="22"/>
      <c r="X13" s="23">
        <f t="shared" si="7"/>
        <v>3.2238170210380959E-2</v>
      </c>
      <c r="Y13" s="23">
        <f t="shared" si="8"/>
        <v>1.4206651279150932E-3</v>
      </c>
      <c r="Z13" s="24">
        <f t="shared" si="9"/>
        <v>0</v>
      </c>
      <c r="AA13" s="24">
        <f t="shared" si="9"/>
        <v>0</v>
      </c>
      <c r="AB13" s="24">
        <f t="shared" si="9"/>
        <v>0</v>
      </c>
      <c r="AC13" s="16">
        <f t="shared" si="10"/>
        <v>0</v>
      </c>
      <c r="AD13" s="21"/>
    </row>
    <row r="14" spans="1:30" s="56" customFormat="1" ht="15" thickBot="1" x14ac:dyDescent="0.4">
      <c r="A14" s="38" t="s">
        <v>18</v>
      </c>
      <c r="B14" s="39">
        <v>20</v>
      </c>
      <c r="C14" s="40">
        <v>4</v>
      </c>
      <c r="D14" s="41">
        <v>53.35</v>
      </c>
      <c r="E14" s="42">
        <v>0.1188</v>
      </c>
      <c r="F14" s="43">
        <f t="shared" si="11"/>
        <v>1067</v>
      </c>
      <c r="G14" s="44">
        <f t="shared" si="0"/>
        <v>213.4</v>
      </c>
      <c r="H14" s="43">
        <f t="shared" si="1"/>
        <v>6.3379799999999999</v>
      </c>
      <c r="I14" s="43">
        <f t="shared" si="2"/>
        <v>8.4175084175084169</v>
      </c>
      <c r="J14" s="45">
        <v>6.7999999999999996E-3</v>
      </c>
      <c r="K14" s="43">
        <f t="shared" si="3"/>
        <v>126.75960000000001</v>
      </c>
      <c r="L14" s="44">
        <f t="shared" si="4"/>
        <v>25.35192</v>
      </c>
      <c r="M14" s="46">
        <f>F14/$F$15</f>
        <v>5.4365825448505316E-2</v>
      </c>
      <c r="N14" s="47">
        <v>0</v>
      </c>
      <c r="O14" s="48">
        <f t="shared" si="5"/>
        <v>5.4365825448505316E-2</v>
      </c>
      <c r="P14" s="49">
        <f>(G14+F14)/F$16</f>
        <v>5.1480320557872335E-2</v>
      </c>
      <c r="Q14" s="50">
        <f t="shared" si="6"/>
        <v>5.1480320557872335E-2</v>
      </c>
      <c r="R14" s="51" t="s">
        <v>0</v>
      </c>
      <c r="S14" s="52">
        <v>0.38769999999999999</v>
      </c>
      <c r="T14" s="52">
        <v>0.02</v>
      </c>
      <c r="U14" s="52"/>
      <c r="V14" s="52"/>
      <c r="W14" s="52"/>
      <c r="X14" s="53">
        <f t="shared" si="7"/>
        <v>2.1077630526385512E-2</v>
      </c>
      <c r="Y14" s="53">
        <f t="shared" si="8"/>
        <v>1.0873165089701064E-3</v>
      </c>
      <c r="Z14" s="54">
        <f t="shared" si="9"/>
        <v>0</v>
      </c>
      <c r="AA14" s="54">
        <f t="shared" si="9"/>
        <v>0</v>
      </c>
      <c r="AB14" s="54">
        <f t="shared" si="9"/>
        <v>0</v>
      </c>
      <c r="AC14" s="55">
        <f t="shared" si="10"/>
        <v>0</v>
      </c>
      <c r="AD14" s="51"/>
    </row>
    <row r="15" spans="1:30" s="58" customFormat="1" ht="15" thickTop="1" x14ac:dyDescent="0.35">
      <c r="A15" s="21"/>
      <c r="B15" s="57"/>
      <c r="E15" s="59"/>
      <c r="F15" s="60">
        <f>SUM(F2:F14)</f>
        <v>19626.300000000003</v>
      </c>
      <c r="G15" s="61">
        <f>SUM(G2:G14)</f>
        <v>5245.3399999999992</v>
      </c>
      <c r="I15" s="57"/>
      <c r="J15" s="62"/>
      <c r="K15" s="63">
        <f>SUM(K2:K14)</f>
        <v>804.85503600000004</v>
      </c>
      <c r="L15" s="64">
        <f>SUM(L2:L14)</f>
        <v>170.22411600000001</v>
      </c>
      <c r="M15" s="65">
        <f>SUM(M2:M14)</f>
        <v>0.99999999999999978</v>
      </c>
      <c r="N15" s="66">
        <f>SUM(N2:N14)</f>
        <v>0.90000000000000013</v>
      </c>
      <c r="P15" s="67">
        <f>SUM(P2:P14)</f>
        <v>0.99999999999999978</v>
      </c>
      <c r="Q15" s="68"/>
      <c r="X15" s="69">
        <f>SUM(X2:X14)</f>
        <v>0.32713308438167144</v>
      </c>
      <c r="Y15" s="69">
        <f>SUM(Y2:Y14)</f>
        <v>0.40325319413236316</v>
      </c>
      <c r="Z15" s="70">
        <f>SUM(Z2:Z14)</f>
        <v>0.72273682792986949</v>
      </c>
      <c r="AA15" s="70">
        <f>SUM(AA2:AA14)</f>
        <v>0.13976998109679356</v>
      </c>
      <c r="AB15" s="70">
        <f>SUM(AB2:AB14)</f>
        <v>2.7686848667349422E-2</v>
      </c>
      <c r="AC15" s="71"/>
    </row>
    <row r="16" spans="1:30" x14ac:dyDescent="0.35">
      <c r="A16" s="72"/>
      <c r="B16" s="57"/>
      <c r="F16" s="73">
        <f>G15+F15</f>
        <v>24871.640000000003</v>
      </c>
      <c r="G16" s="74"/>
      <c r="I16" s="57"/>
      <c r="J16" s="57"/>
      <c r="K16" s="73">
        <f>L15+K15</f>
        <v>975.07915200000002</v>
      </c>
      <c r="L16" s="75"/>
      <c r="M16" s="76"/>
      <c r="N16" s="77"/>
      <c r="P16" s="76"/>
      <c r="X16" s="78"/>
      <c r="Y16" s="78"/>
    </row>
  </sheetData>
  <conditionalFormatting sqref="I2:I1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14 Q2:Q1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7F192-B1B6-4CDD-B418-69FCEC6CF1C0}">
  <dimension ref="A1:M16"/>
  <sheetViews>
    <sheetView tabSelected="1" zoomScale="130" zoomScaleNormal="130" workbookViewId="0">
      <selection activeCell="M5" sqref="M5"/>
    </sheetView>
  </sheetViews>
  <sheetFormatPr defaultRowHeight="14.5" x14ac:dyDescent="0.35"/>
  <cols>
    <col min="1" max="1" width="8.26953125" bestFit="1" customWidth="1"/>
    <col min="3" max="3" width="9.1796875" bestFit="1" customWidth="1"/>
    <col min="4" max="4" width="11.7265625" bestFit="1" customWidth="1"/>
    <col min="5" max="5" width="10.26953125" bestFit="1" customWidth="1"/>
    <col min="6" max="6" width="8.81640625" bestFit="1" customWidth="1"/>
    <col min="7" max="7" width="9.90625" bestFit="1" customWidth="1"/>
    <col min="8" max="8" width="11.81640625" bestFit="1" customWidth="1"/>
    <col min="9" max="9" width="11.6328125" bestFit="1" customWidth="1"/>
    <col min="10" max="10" width="8.81640625" bestFit="1" customWidth="1"/>
    <col min="11" max="11" width="11.54296875" bestFit="1" customWidth="1"/>
    <col min="12" max="12" width="13" bestFit="1" customWidth="1"/>
    <col min="13" max="13" width="10.08984375" bestFit="1" customWidth="1"/>
  </cols>
  <sheetData>
    <row r="1" spans="1:13" x14ac:dyDescent="0.35">
      <c r="A1" s="1" t="s">
        <v>26</v>
      </c>
      <c r="B1" s="1" t="s">
        <v>23</v>
      </c>
      <c r="C1" s="1" t="s">
        <v>27</v>
      </c>
      <c r="D1" s="1" t="s">
        <v>25</v>
      </c>
      <c r="E1" s="1" t="s">
        <v>28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35</v>
      </c>
      <c r="K1" s="3" t="s">
        <v>36</v>
      </c>
      <c r="L1" s="4" t="s">
        <v>37</v>
      </c>
      <c r="M1" s="1" t="s">
        <v>40</v>
      </c>
    </row>
    <row r="2" spans="1:13" x14ac:dyDescent="0.35">
      <c r="A2" s="7" t="s">
        <v>53</v>
      </c>
      <c r="B2" s="8">
        <f>E2</f>
        <v>0</v>
      </c>
      <c r="C2" s="10">
        <v>1</v>
      </c>
      <c r="D2" s="11">
        <v>3.39E-2</v>
      </c>
      <c r="E2" s="12">
        <v>0</v>
      </c>
      <c r="F2" s="14">
        <f>C2*D2</f>
        <v>3.39E-2</v>
      </c>
      <c r="G2" s="14">
        <f>C2/F2</f>
        <v>29.498525073746315</v>
      </c>
      <c r="H2" s="15">
        <v>0</v>
      </c>
      <c r="I2" s="14">
        <f>(B2*F2)</f>
        <v>0</v>
      </c>
      <c r="J2" s="16">
        <f>E2/$E$15</f>
        <v>0</v>
      </c>
      <c r="K2" s="17">
        <v>0</v>
      </c>
      <c r="L2" s="18">
        <f t="shared" ref="L2:L14" si="0">J2-K2</f>
        <v>0</v>
      </c>
      <c r="M2" s="21" t="s">
        <v>0</v>
      </c>
    </row>
    <row r="3" spans="1:13" ht="15" thickBot="1" x14ac:dyDescent="0.4">
      <c r="A3" s="7" t="s">
        <v>1</v>
      </c>
      <c r="B3" s="8">
        <f>E3</f>
        <v>0</v>
      </c>
      <c r="C3" s="10">
        <v>1</v>
      </c>
      <c r="D3" s="11">
        <v>3.39E-2</v>
      </c>
      <c r="E3" s="12">
        <v>0</v>
      </c>
      <c r="F3" s="14">
        <f>C3*D3</f>
        <v>3.39E-2</v>
      </c>
      <c r="G3" s="14">
        <f>C3/F3</f>
        <v>29.498525073746315</v>
      </c>
      <c r="H3" s="15">
        <v>0</v>
      </c>
      <c r="I3" s="14">
        <f>(B3*F3)</f>
        <v>0</v>
      </c>
      <c r="J3" s="25">
        <f>E3/$E$15</f>
        <v>0</v>
      </c>
      <c r="K3" s="26">
        <v>0</v>
      </c>
      <c r="L3" s="18">
        <f t="shared" si="0"/>
        <v>0</v>
      </c>
      <c r="M3" s="21" t="s">
        <v>0</v>
      </c>
    </row>
    <row r="4" spans="1:13" x14ac:dyDescent="0.35">
      <c r="A4" s="29" t="s">
        <v>4</v>
      </c>
      <c r="B4" s="27">
        <v>4</v>
      </c>
      <c r="C4" s="10">
        <v>183.47</v>
      </c>
      <c r="D4" s="11">
        <v>4.5999999999999999E-3</v>
      </c>
      <c r="E4" s="14">
        <f>(B4*C4)</f>
        <v>733.88</v>
      </c>
      <c r="F4" s="14">
        <f>C4*D4</f>
        <v>0.84396199999999999</v>
      </c>
      <c r="G4" s="14">
        <f>C4/F4</f>
        <v>217.39130434782609</v>
      </c>
      <c r="H4" s="28">
        <v>8.0000000000000004E-4</v>
      </c>
      <c r="I4" s="14">
        <f>(B4*F4)</f>
        <v>3.375848</v>
      </c>
      <c r="J4" s="25">
        <f>E4/$E$15</f>
        <v>3.7392682268180953E-2</v>
      </c>
      <c r="K4" s="26">
        <v>0.12</v>
      </c>
      <c r="L4" s="18">
        <f>J4-K4</f>
        <v>-8.2607317731819035E-2</v>
      </c>
      <c r="M4" s="21" t="s">
        <v>2</v>
      </c>
    </row>
    <row r="5" spans="1:13" x14ac:dyDescent="0.35">
      <c r="A5" s="30" t="s">
        <v>54</v>
      </c>
      <c r="B5" s="27">
        <v>2</v>
      </c>
      <c r="C5" s="10">
        <v>140.88999999999999</v>
      </c>
      <c r="D5" s="11">
        <v>7.7999999999999996E-3</v>
      </c>
      <c r="E5" s="14">
        <f>(B5*C5)</f>
        <v>281.77999999999997</v>
      </c>
      <c r="F5" s="14">
        <f>C5*D5</f>
        <v>1.0989419999999999</v>
      </c>
      <c r="G5" s="14">
        <f>C5/F5</f>
        <v>128.2051282051282</v>
      </c>
      <c r="H5" s="28">
        <v>1.2999999999999999E-3</v>
      </c>
      <c r="I5" s="14">
        <f>(B5*F5)</f>
        <v>2.1978839999999997</v>
      </c>
      <c r="J5" s="25">
        <f>E5/$E$15</f>
        <v>1.4357265505979218E-2</v>
      </c>
      <c r="K5" s="26">
        <v>0</v>
      </c>
      <c r="L5" s="18">
        <f t="shared" si="0"/>
        <v>1.4357265505979218E-2</v>
      </c>
      <c r="M5" s="21" t="s">
        <v>2</v>
      </c>
    </row>
    <row r="6" spans="1:13" x14ac:dyDescent="0.35">
      <c r="A6" s="30" t="s">
        <v>6</v>
      </c>
      <c r="B6" s="27">
        <v>16</v>
      </c>
      <c r="C6" s="10">
        <v>35.21</v>
      </c>
      <c r="D6" s="11">
        <v>3.8999999999999998E-3</v>
      </c>
      <c r="E6" s="14">
        <f>(B6*C6)</f>
        <v>563.36</v>
      </c>
      <c r="F6" s="14">
        <f>C6*D6</f>
        <v>0.137319</v>
      </c>
      <c r="G6" s="14">
        <f>C6/F6</f>
        <v>256.41025641025641</v>
      </c>
      <c r="H6" s="28">
        <v>4.0000000000000002E-4</v>
      </c>
      <c r="I6" s="14">
        <f>(B6*F6)</f>
        <v>2.1971039999999999</v>
      </c>
      <c r="J6" s="25">
        <f>E6/$E$15</f>
        <v>2.8704340604189273E-2</v>
      </c>
      <c r="K6" s="26">
        <v>0.16</v>
      </c>
      <c r="L6" s="18">
        <f t="shared" si="0"/>
        <v>-0.13129565939581073</v>
      </c>
      <c r="M6" s="21" t="s">
        <v>2</v>
      </c>
    </row>
    <row r="7" spans="1:13" x14ac:dyDescent="0.35">
      <c r="A7" s="32" t="s">
        <v>8</v>
      </c>
      <c r="B7" s="27">
        <v>200</v>
      </c>
      <c r="C7" s="10">
        <v>29.28</v>
      </c>
      <c r="D7" s="11">
        <v>1.0500000000000001E-2</v>
      </c>
      <c r="E7" s="14">
        <f>(B7*C7)</f>
        <v>5856</v>
      </c>
      <c r="F7" s="14">
        <f>C7*D7</f>
        <v>0.30744000000000005</v>
      </c>
      <c r="G7" s="14">
        <f>C7/F7</f>
        <v>95.238095238095227</v>
      </c>
      <c r="H7" s="28">
        <v>2.9999999999999997E-4</v>
      </c>
      <c r="I7" s="14">
        <f>(B7*F7)</f>
        <v>61.488000000000007</v>
      </c>
      <c r="J7" s="25">
        <f>E7/$E$15</f>
        <v>0.29837513948120631</v>
      </c>
      <c r="K7" s="26">
        <v>0.24</v>
      </c>
      <c r="L7" s="18">
        <f t="shared" si="0"/>
        <v>5.8375139481206317E-2</v>
      </c>
      <c r="M7" s="21" t="s">
        <v>2</v>
      </c>
    </row>
    <row r="8" spans="1:13" ht="15" thickBot="1" x14ac:dyDescent="0.4">
      <c r="A8" s="33" t="s">
        <v>10</v>
      </c>
      <c r="B8" s="27">
        <v>240</v>
      </c>
      <c r="C8" s="10">
        <v>26.93</v>
      </c>
      <c r="D8" s="34">
        <v>3.1300000000000001E-2</v>
      </c>
      <c r="E8" s="14">
        <f>(B8*C8)</f>
        <v>6463.2</v>
      </c>
      <c r="F8" s="14">
        <f>C8*D8</f>
        <v>0.84290900000000002</v>
      </c>
      <c r="G8" s="14">
        <f>C8/F8</f>
        <v>31.948881789137378</v>
      </c>
      <c r="H8" s="28">
        <v>2.9999999999999997E-4</v>
      </c>
      <c r="I8" s="14">
        <f>(B8*F8)</f>
        <v>202.29816</v>
      </c>
      <c r="J8" s="25">
        <f>E8/$E$15</f>
        <v>0.32931321746839692</v>
      </c>
      <c r="K8" s="26">
        <v>0.28000000000000003</v>
      </c>
      <c r="L8" s="18">
        <f t="shared" si="0"/>
        <v>4.9313217468396897E-2</v>
      </c>
      <c r="M8" s="21" t="s">
        <v>11</v>
      </c>
    </row>
    <row r="9" spans="1:13" x14ac:dyDescent="0.35">
      <c r="A9" s="35" t="s">
        <v>13</v>
      </c>
      <c r="B9" s="27">
        <v>16</v>
      </c>
      <c r="C9" s="10">
        <v>34.35</v>
      </c>
      <c r="D9" s="11">
        <v>3.0700000000000002E-2</v>
      </c>
      <c r="E9" s="14">
        <f>(B9*C9)</f>
        <v>549.6</v>
      </c>
      <c r="F9" s="14">
        <f>C9*D9</f>
        <v>1.0545450000000001</v>
      </c>
      <c r="G9" s="14">
        <f>C9/F9</f>
        <v>32.573289902280131</v>
      </c>
      <c r="H9" s="28">
        <v>5.9999999999999995E-4</v>
      </c>
      <c r="I9" s="14">
        <f>(B9*F9)</f>
        <v>16.872720000000001</v>
      </c>
      <c r="J9" s="25">
        <f>E9/$E$15</f>
        <v>2.8003240549670592E-2</v>
      </c>
      <c r="K9" s="26">
        <v>0.04</v>
      </c>
      <c r="L9" s="18">
        <f t="shared" si="0"/>
        <v>-1.1996759450329408E-2</v>
      </c>
      <c r="M9" s="21" t="s">
        <v>2</v>
      </c>
    </row>
    <row r="10" spans="1:13" x14ac:dyDescent="0.35">
      <c r="A10" s="35" t="s">
        <v>14</v>
      </c>
      <c r="B10" s="27">
        <v>8</v>
      </c>
      <c r="C10" s="10">
        <v>102.01</v>
      </c>
      <c r="D10" s="11">
        <v>3.6499999999999998E-2</v>
      </c>
      <c r="E10" s="14">
        <f>(B10*C10)</f>
        <v>816.08</v>
      </c>
      <c r="F10" s="14">
        <f>C10*D10</f>
        <v>3.7233649999999998</v>
      </c>
      <c r="G10" s="14">
        <f>C10/F10</f>
        <v>27.397260273972606</v>
      </c>
      <c r="H10" s="28">
        <v>6.9999999999999999E-4</v>
      </c>
      <c r="I10" s="14">
        <f>(B10*F10)</f>
        <v>29.786919999999999</v>
      </c>
      <c r="J10" s="25">
        <f>E10/$E$15</f>
        <v>4.158093986130855E-2</v>
      </c>
      <c r="K10" s="26">
        <v>0.02</v>
      </c>
      <c r="L10" s="18">
        <f t="shared" si="0"/>
        <v>2.1580939861308549E-2</v>
      </c>
      <c r="M10" s="21" t="s">
        <v>2</v>
      </c>
    </row>
    <row r="11" spans="1:13" x14ac:dyDescent="0.35">
      <c r="A11" s="36" t="s">
        <v>15</v>
      </c>
      <c r="B11" s="27">
        <v>20</v>
      </c>
      <c r="C11" s="10">
        <v>55.55</v>
      </c>
      <c r="D11" s="11">
        <v>0.1038</v>
      </c>
      <c r="E11" s="14">
        <f>(B11*C11)</f>
        <v>1111</v>
      </c>
      <c r="F11" s="14">
        <f>C11*D11</f>
        <v>5.7660900000000002</v>
      </c>
      <c r="G11" s="14">
        <f>C11/F11</f>
        <v>9.6339113680154131</v>
      </c>
      <c r="H11" s="28">
        <v>2.8999999999999998E-3</v>
      </c>
      <c r="I11" s="14">
        <f>(B11*F11)</f>
        <v>115.3218</v>
      </c>
      <c r="J11" s="25">
        <f>E11/$E$15</f>
        <v>5.6607715157722026E-2</v>
      </c>
      <c r="K11" s="26">
        <v>0.02</v>
      </c>
      <c r="L11" s="18">
        <f t="shared" si="0"/>
        <v>3.6607715157722029E-2</v>
      </c>
      <c r="M11" s="21" t="s">
        <v>0</v>
      </c>
    </row>
    <row r="12" spans="1:13" x14ac:dyDescent="0.35">
      <c r="A12" s="36" t="s">
        <v>16</v>
      </c>
      <c r="B12" s="27">
        <v>20</v>
      </c>
      <c r="C12" s="10">
        <v>55.6</v>
      </c>
      <c r="D12" s="11">
        <v>8.2500000000000004E-2</v>
      </c>
      <c r="E12" s="14">
        <f>(B12*C12)</f>
        <v>1112</v>
      </c>
      <c r="F12" s="14">
        <f>C12*D12</f>
        <v>4.5870000000000006</v>
      </c>
      <c r="G12" s="14">
        <f>C12/F12</f>
        <v>12.121212121212119</v>
      </c>
      <c r="H12" s="28">
        <v>2.8999999999999998E-3</v>
      </c>
      <c r="I12" s="14">
        <f>(B12*F12)</f>
        <v>91.740000000000009</v>
      </c>
      <c r="J12" s="25">
        <f>E12/$E$15</f>
        <v>5.6658667196567862E-2</v>
      </c>
      <c r="K12" s="26">
        <v>0.02</v>
      </c>
      <c r="L12" s="18">
        <f t="shared" si="0"/>
        <v>3.6658667196567865E-2</v>
      </c>
      <c r="M12" s="21" t="s">
        <v>0</v>
      </c>
    </row>
    <row r="13" spans="1:13" x14ac:dyDescent="0.35">
      <c r="A13" s="37" t="s">
        <v>17</v>
      </c>
      <c r="B13" s="27">
        <v>20</v>
      </c>
      <c r="C13" s="10">
        <v>53.62</v>
      </c>
      <c r="D13" s="11">
        <v>0.14249999999999999</v>
      </c>
      <c r="E13" s="14">
        <f>(B13*C13)</f>
        <v>1072.3999999999999</v>
      </c>
      <c r="F13" s="14">
        <f>C13*D13</f>
        <v>7.6408499999999986</v>
      </c>
      <c r="G13" s="14">
        <f>C13/F13</f>
        <v>7.0175438596491242</v>
      </c>
      <c r="H13" s="28">
        <v>6.7999999999999996E-3</v>
      </c>
      <c r="I13" s="14">
        <f>(B13*F13)</f>
        <v>152.81699999999998</v>
      </c>
      <c r="J13" s="25">
        <f>E13/$E$15</f>
        <v>5.4640966458272815E-2</v>
      </c>
      <c r="K13" s="26">
        <v>0</v>
      </c>
      <c r="L13" s="18">
        <f t="shared" si="0"/>
        <v>5.4640966458272815E-2</v>
      </c>
      <c r="M13" s="21" t="s">
        <v>0</v>
      </c>
    </row>
    <row r="14" spans="1:13" s="56" customFormat="1" ht="15" thickBot="1" x14ac:dyDescent="0.4">
      <c r="A14" s="38" t="s">
        <v>18</v>
      </c>
      <c r="B14" s="39">
        <v>20</v>
      </c>
      <c r="C14" s="41">
        <v>53.35</v>
      </c>
      <c r="D14" s="42">
        <v>0.1188</v>
      </c>
      <c r="E14" s="43">
        <f>(B14*C14)</f>
        <v>1067</v>
      </c>
      <c r="F14" s="43">
        <f>C14*D14</f>
        <v>6.3379799999999999</v>
      </c>
      <c r="G14" s="43">
        <f>C14/F14</f>
        <v>8.4175084175084169</v>
      </c>
      <c r="H14" s="45">
        <v>6.7999999999999996E-3</v>
      </c>
      <c r="I14" s="43">
        <f>(B14*F14)</f>
        <v>126.75960000000001</v>
      </c>
      <c r="J14" s="46">
        <f>E14/$E$15</f>
        <v>5.4365825448505316E-2</v>
      </c>
      <c r="K14" s="47">
        <v>0</v>
      </c>
      <c r="L14" s="48">
        <f t="shared" si="0"/>
        <v>5.4365825448505316E-2</v>
      </c>
      <c r="M14" s="51" t="s">
        <v>0</v>
      </c>
    </row>
    <row r="15" spans="1:13" s="58" customFormat="1" ht="15" thickTop="1" x14ac:dyDescent="0.35">
      <c r="A15" s="21"/>
      <c r="B15" s="57"/>
      <c r="D15" s="59"/>
      <c r="E15" s="60">
        <f>SUM(E2:E14)</f>
        <v>19626.300000000003</v>
      </c>
      <c r="G15" s="57"/>
      <c r="H15" s="62"/>
      <c r="I15" s="63">
        <f>SUM(I2:I14)</f>
        <v>804.85503600000004</v>
      </c>
      <c r="J15" s="65">
        <f>SUM(J2:J14)</f>
        <v>0.99999999999999978</v>
      </c>
      <c r="K15" s="66">
        <f>SUM(K2:K14)</f>
        <v>0.90000000000000013</v>
      </c>
    </row>
    <row r="16" spans="1:13" x14ac:dyDescent="0.35">
      <c r="A16" s="72"/>
      <c r="B16" s="57"/>
      <c r="E16" s="73" t="e">
        <f>#REF!+E15</f>
        <v>#REF!</v>
      </c>
      <c r="G16" s="57"/>
      <c r="H16" s="57"/>
      <c r="I16" s="73" t="e">
        <f>#REF!+I15</f>
        <v>#REF!</v>
      </c>
      <c r="J16" s="76"/>
      <c r="K16" s="77"/>
    </row>
  </sheetData>
  <conditionalFormatting sqref="G2:G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1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AC9E6-80C7-49D5-8117-2EC7DB302CEC}">
  <dimension ref="A1:E16"/>
  <sheetViews>
    <sheetView workbookViewId="0">
      <selection sqref="A1:E1048576"/>
    </sheetView>
  </sheetViews>
  <sheetFormatPr defaultRowHeight="14.5" x14ac:dyDescent="0.35"/>
  <cols>
    <col min="1" max="2" width="12.81640625" bestFit="1" customWidth="1"/>
    <col min="3" max="3" width="15.7265625" bestFit="1" customWidth="1"/>
    <col min="4" max="4" width="13" bestFit="1" customWidth="1"/>
    <col min="5" max="5" width="17.453125" bestFit="1" customWidth="1"/>
  </cols>
  <sheetData>
    <row r="1" spans="1:5" x14ac:dyDescent="0.35">
      <c r="A1" s="2" t="s">
        <v>24</v>
      </c>
      <c r="B1" s="2" t="s">
        <v>29</v>
      </c>
      <c r="C1" s="2" t="s">
        <v>34</v>
      </c>
      <c r="D1" s="5" t="s">
        <v>38</v>
      </c>
      <c r="E1" s="6" t="s">
        <v>39</v>
      </c>
    </row>
    <row r="2" spans="1:5" x14ac:dyDescent="0.35">
      <c r="A2" s="9">
        <v>0</v>
      </c>
      <c r="B2" s="13">
        <v>0</v>
      </c>
      <c r="C2" s="13">
        <v>0</v>
      </c>
      <c r="D2" s="19">
        <v>0</v>
      </c>
      <c r="E2" s="20">
        <v>0</v>
      </c>
    </row>
    <row r="3" spans="1:5" x14ac:dyDescent="0.35">
      <c r="A3" s="9">
        <v>0</v>
      </c>
      <c r="B3" s="13">
        <v>0</v>
      </c>
      <c r="C3" s="13">
        <v>0</v>
      </c>
      <c r="D3" s="19">
        <v>0</v>
      </c>
      <c r="E3" s="20">
        <v>0</v>
      </c>
    </row>
    <row r="4" spans="1:5" x14ac:dyDescent="0.35">
      <c r="A4" s="9">
        <v>4</v>
      </c>
      <c r="B4" s="13">
        <v>733.88</v>
      </c>
      <c r="C4" s="13">
        <v>3.375848</v>
      </c>
      <c r="D4" s="19">
        <v>5.9013398392707507E-2</v>
      </c>
      <c r="E4" s="20">
        <v>-6.0986601607292489E-2</v>
      </c>
    </row>
    <row r="5" spans="1:5" x14ac:dyDescent="0.35">
      <c r="A5" s="9">
        <v>2</v>
      </c>
      <c r="B5" s="13">
        <v>281.77999999999997</v>
      </c>
      <c r="C5" s="13">
        <v>2.1978839999999997</v>
      </c>
      <c r="D5" s="19">
        <v>2.2658739029673951E-2</v>
      </c>
      <c r="E5" s="20">
        <v>2.2658739029673951E-2</v>
      </c>
    </row>
    <row r="6" spans="1:5" x14ac:dyDescent="0.35">
      <c r="A6" s="9">
        <v>16</v>
      </c>
      <c r="B6" s="13">
        <v>563.36</v>
      </c>
      <c r="C6" s="13">
        <v>2.1971039999999999</v>
      </c>
      <c r="D6" s="19">
        <v>4.5301395484978066E-2</v>
      </c>
      <c r="E6" s="20">
        <v>-0.11469860451502194</v>
      </c>
    </row>
    <row r="7" spans="1:5" x14ac:dyDescent="0.35">
      <c r="A7" s="9">
        <v>40</v>
      </c>
      <c r="B7" s="13">
        <v>1171.2</v>
      </c>
      <c r="C7" s="13">
        <v>12.297600000000003</v>
      </c>
      <c r="D7" s="19">
        <v>0.28253866652942866</v>
      </c>
      <c r="E7" s="20">
        <v>4.253866652942867E-2</v>
      </c>
    </row>
    <row r="8" spans="1:5" x14ac:dyDescent="0.35">
      <c r="A8" s="9">
        <v>40</v>
      </c>
      <c r="B8" s="13">
        <v>1077.2</v>
      </c>
      <c r="C8" s="13">
        <v>33.716360000000002</v>
      </c>
      <c r="D8" s="19">
        <v>0.30317260944593916</v>
      </c>
      <c r="E8" s="20">
        <v>2.317260944593913E-2</v>
      </c>
    </row>
    <row r="9" spans="1:5" x14ac:dyDescent="0.35">
      <c r="A9" s="9">
        <v>4</v>
      </c>
      <c r="B9" s="13">
        <v>137.4</v>
      </c>
      <c r="C9" s="13">
        <v>4.2181800000000003</v>
      </c>
      <c r="D9" s="19">
        <v>2.7621821480207975E-2</v>
      </c>
      <c r="E9" s="20">
        <v>-1.2378178519792025E-2</v>
      </c>
    </row>
    <row r="10" spans="1:5" x14ac:dyDescent="0.35">
      <c r="A10" s="9">
        <v>4</v>
      </c>
      <c r="B10" s="13">
        <v>408.04</v>
      </c>
      <c r="C10" s="13">
        <v>14.893459999999999</v>
      </c>
      <c r="D10" s="19">
        <v>4.9217502344035213E-2</v>
      </c>
      <c r="E10" s="20">
        <v>2.9217502344035213E-2</v>
      </c>
    </row>
    <row r="11" spans="1:5" x14ac:dyDescent="0.35">
      <c r="A11" s="9">
        <v>4</v>
      </c>
      <c r="B11" s="13">
        <v>222.2</v>
      </c>
      <c r="C11" s="13">
        <v>23.064360000000001</v>
      </c>
      <c r="D11" s="19">
        <v>5.3603220374691812E-2</v>
      </c>
      <c r="E11" s="20">
        <v>3.3603220374691808E-2</v>
      </c>
    </row>
    <row r="12" spans="1:5" x14ac:dyDescent="0.35">
      <c r="A12" s="9">
        <v>4</v>
      </c>
      <c r="B12" s="13">
        <v>222.4</v>
      </c>
      <c r="C12" s="13">
        <v>18.348000000000003</v>
      </c>
      <c r="D12" s="19">
        <v>5.3651468097801351E-2</v>
      </c>
      <c r="E12" s="20">
        <v>3.3651468097801354E-2</v>
      </c>
    </row>
    <row r="13" spans="1:5" x14ac:dyDescent="0.35">
      <c r="A13" s="9">
        <v>4</v>
      </c>
      <c r="B13" s="13">
        <v>214.48</v>
      </c>
      <c r="C13" s="13">
        <v>30.563399999999994</v>
      </c>
      <c r="D13" s="19">
        <v>5.1740858262663808E-2</v>
      </c>
      <c r="E13" s="20">
        <v>5.1740858262663808E-2</v>
      </c>
    </row>
    <row r="14" spans="1:5" ht="15" thickBot="1" x14ac:dyDescent="0.4">
      <c r="A14" s="40">
        <v>4</v>
      </c>
      <c r="B14" s="44">
        <v>213.4</v>
      </c>
      <c r="C14" s="44">
        <v>25.35192</v>
      </c>
      <c r="D14" s="49">
        <v>5.1480320557872335E-2</v>
      </c>
      <c r="E14" s="50">
        <v>5.1480320557872335E-2</v>
      </c>
    </row>
    <row r="15" spans="1:5" ht="15" thickTop="1" x14ac:dyDescent="0.35">
      <c r="A15" s="58"/>
      <c r="B15" s="61">
        <v>5245.3399999999992</v>
      </c>
      <c r="C15" s="64">
        <v>170.22411600000001</v>
      </c>
      <c r="D15" s="67">
        <v>0.99999999999999978</v>
      </c>
      <c r="E15" s="68"/>
    </row>
    <row r="16" spans="1:5" x14ac:dyDescent="0.35">
      <c r="B16" s="74"/>
      <c r="C16" s="75"/>
      <c r="D16" s="76"/>
    </row>
  </sheetData>
  <conditionalFormatting sqref="E2:E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5AA25-1B54-4205-B468-17C38C3A1072}">
  <dimension ref="A1:A15"/>
  <sheetViews>
    <sheetView workbookViewId="0">
      <selection sqref="A1:A1048576"/>
    </sheetView>
  </sheetViews>
  <sheetFormatPr defaultRowHeight="14.5" x14ac:dyDescent="0.35"/>
  <cols>
    <col min="1" max="1" width="100.36328125" bestFit="1" customWidth="1"/>
  </cols>
  <sheetData>
    <row r="1" spans="1:1" x14ac:dyDescent="0.35">
      <c r="A1" s="1" t="s">
        <v>46</v>
      </c>
    </row>
    <row r="2" spans="1:1" x14ac:dyDescent="0.35">
      <c r="A2" s="7" t="s">
        <v>20</v>
      </c>
    </row>
    <row r="3" spans="1:1" x14ac:dyDescent="0.35">
      <c r="A3" s="7" t="s">
        <v>21</v>
      </c>
    </row>
    <row r="4" spans="1:1" x14ac:dyDescent="0.35">
      <c r="A4" s="21" t="s">
        <v>3</v>
      </c>
    </row>
    <row r="5" spans="1:1" x14ac:dyDescent="0.35">
      <c r="A5" s="21" t="s">
        <v>5</v>
      </c>
    </row>
    <row r="6" spans="1:1" x14ac:dyDescent="0.35">
      <c r="A6" s="31" t="s">
        <v>7</v>
      </c>
    </row>
    <row r="7" spans="1:1" x14ac:dyDescent="0.35">
      <c r="A7" s="21" t="s">
        <v>9</v>
      </c>
    </row>
    <row r="8" spans="1:1" x14ac:dyDescent="0.35">
      <c r="A8" s="21" t="s">
        <v>12</v>
      </c>
    </row>
    <row r="9" spans="1:1" x14ac:dyDescent="0.35">
      <c r="A9" s="21" t="s">
        <v>19</v>
      </c>
    </row>
    <row r="10" spans="1:1" x14ac:dyDescent="0.35">
      <c r="A10" s="21" t="s">
        <v>22</v>
      </c>
    </row>
    <row r="11" spans="1:1" x14ac:dyDescent="0.35">
      <c r="A11" s="21"/>
    </row>
    <row r="12" spans="1:1" x14ac:dyDescent="0.35">
      <c r="A12" s="21"/>
    </row>
    <row r="13" spans="1:1" x14ac:dyDescent="0.35">
      <c r="A13" s="21"/>
    </row>
    <row r="14" spans="1:1" ht="15" thickBot="1" x14ac:dyDescent="0.4">
      <c r="A14" s="51"/>
    </row>
    <row r="15" spans="1:1" ht="15" thickTop="1" x14ac:dyDescent="0.35">
      <c r="A15" s="5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BD222-8FC3-42F1-A0D4-75382B223A79}">
  <dimension ref="A1:K16"/>
  <sheetViews>
    <sheetView workbookViewId="0">
      <selection sqref="A1:K1048576"/>
    </sheetView>
  </sheetViews>
  <sheetFormatPr defaultRowHeight="14.5" x14ac:dyDescent="0.35"/>
  <cols>
    <col min="1" max="1" width="8.36328125" bestFit="1" customWidth="1"/>
    <col min="2" max="2" width="7.26953125" bestFit="1" customWidth="1"/>
    <col min="3" max="3" width="12.08984375" bestFit="1" customWidth="1"/>
    <col min="4" max="4" width="10.90625" bestFit="1" customWidth="1"/>
    <col min="5" max="5" width="12.08984375" bestFit="1" customWidth="1"/>
    <col min="6" max="6" width="12.90625" bestFit="1" customWidth="1"/>
    <col min="7" max="7" width="11.6328125" bestFit="1" customWidth="1"/>
    <col min="8" max="8" width="16.6328125" bestFit="1" customWidth="1"/>
    <col min="9" max="9" width="15.36328125" bestFit="1" customWidth="1"/>
    <col min="10" max="10" width="16.6328125" bestFit="1" customWidth="1"/>
    <col min="11" max="11" width="11.90625" bestFit="1" customWidth="1"/>
  </cols>
  <sheetData>
    <row r="1" spans="1:11" x14ac:dyDescent="0.35">
      <c r="A1" s="79" t="s">
        <v>41</v>
      </c>
      <c r="B1" s="79" t="s">
        <v>42</v>
      </c>
      <c r="C1" s="79" t="s">
        <v>43</v>
      </c>
      <c r="D1" s="79" t="s">
        <v>44</v>
      </c>
      <c r="E1" s="79" t="s">
        <v>45</v>
      </c>
      <c r="F1" s="79" t="s">
        <v>47</v>
      </c>
      <c r="G1" s="79" t="s">
        <v>48</v>
      </c>
      <c r="H1" s="79" t="s">
        <v>49</v>
      </c>
      <c r="I1" s="79" t="s">
        <v>50</v>
      </c>
      <c r="J1" s="79" t="s">
        <v>51</v>
      </c>
      <c r="K1" s="79" t="s">
        <v>52</v>
      </c>
    </row>
    <row r="2" spans="1:11" x14ac:dyDescent="0.35">
      <c r="A2" s="22">
        <v>0</v>
      </c>
      <c r="B2" s="22">
        <v>0</v>
      </c>
      <c r="C2" s="22">
        <v>0</v>
      </c>
      <c r="D2" s="22">
        <v>0</v>
      </c>
      <c r="E2" s="22">
        <v>0</v>
      </c>
      <c r="F2" s="23" t="e">
        <f>#REF!*A2</f>
        <v>#REF!</v>
      </c>
      <c r="G2" s="23" t="e">
        <f>#REF!*B2</f>
        <v>#REF!</v>
      </c>
      <c r="H2" s="24">
        <f>$M2*C2</f>
        <v>0</v>
      </c>
      <c r="I2" s="24">
        <f>$M2*D2</f>
        <v>0</v>
      </c>
      <c r="J2" s="24">
        <f>$M2*E2</f>
        <v>0</v>
      </c>
      <c r="K2" s="16">
        <f>C2+D2+E2</f>
        <v>0</v>
      </c>
    </row>
    <row r="3" spans="1:11" x14ac:dyDescent="0.35">
      <c r="A3" s="22">
        <v>0</v>
      </c>
      <c r="B3" s="22">
        <v>0</v>
      </c>
      <c r="C3" s="22">
        <v>0</v>
      </c>
      <c r="D3" s="22">
        <v>0</v>
      </c>
      <c r="E3" s="22">
        <v>0</v>
      </c>
      <c r="F3" s="23" t="e">
        <f>#REF!*A3</f>
        <v>#REF!</v>
      </c>
      <c r="G3" s="23" t="e">
        <f>#REF!*B3</f>
        <v>#REF!</v>
      </c>
      <c r="H3" s="24">
        <f t="shared" ref="H3:J14" si="0">$M3*C3</f>
        <v>0</v>
      </c>
      <c r="I3" s="24">
        <f t="shared" si="0"/>
        <v>0</v>
      </c>
      <c r="J3" s="24">
        <f t="shared" si="0"/>
        <v>0</v>
      </c>
      <c r="K3" s="16">
        <f t="shared" ref="K3:K14" si="1">C3+D3+E3</f>
        <v>0</v>
      </c>
    </row>
    <row r="4" spans="1:11" x14ac:dyDescent="0.35">
      <c r="A4" s="22">
        <v>1</v>
      </c>
      <c r="B4" s="22">
        <v>3.5000000000000003E-2</v>
      </c>
      <c r="C4" s="22">
        <v>0.91500000000000004</v>
      </c>
      <c r="D4" s="22">
        <v>0.08</v>
      </c>
      <c r="E4" s="22">
        <v>4.8999999999999998E-3</v>
      </c>
      <c r="F4" s="23" t="e">
        <f>#REF!*A4</f>
        <v>#REF!</v>
      </c>
      <c r="G4" s="23" t="e">
        <f>#REF!*B4</f>
        <v>#REF!</v>
      </c>
      <c r="H4" s="24">
        <f t="shared" si="0"/>
        <v>0</v>
      </c>
      <c r="I4" s="24">
        <f t="shared" si="0"/>
        <v>0</v>
      </c>
      <c r="J4" s="24">
        <f t="shared" si="0"/>
        <v>0</v>
      </c>
      <c r="K4" s="16">
        <f>C4+D4+E4</f>
        <v>0.99990000000000001</v>
      </c>
    </row>
    <row r="5" spans="1:11" x14ac:dyDescent="0.35">
      <c r="A5" s="22">
        <v>0.51529999999999998</v>
      </c>
      <c r="B5" s="22">
        <v>2.58E-2</v>
      </c>
      <c r="C5" s="22">
        <v>0.89170000000000005</v>
      </c>
      <c r="D5" s="22">
        <v>0.10440000000000001</v>
      </c>
      <c r="E5" s="22">
        <v>4.1000000000000003E-3</v>
      </c>
      <c r="F5" s="23" t="e">
        <f>#REF!*A5</f>
        <v>#REF!</v>
      </c>
      <c r="G5" s="23" t="e">
        <f>#REF!*B5</f>
        <v>#REF!</v>
      </c>
      <c r="H5" s="24">
        <f t="shared" si="0"/>
        <v>0</v>
      </c>
      <c r="I5" s="24">
        <f t="shared" si="0"/>
        <v>0</v>
      </c>
      <c r="J5" s="24">
        <f t="shared" si="0"/>
        <v>0</v>
      </c>
      <c r="K5" s="16">
        <f t="shared" si="1"/>
        <v>1.0002000000000002</v>
      </c>
    </row>
    <row r="6" spans="1:11" x14ac:dyDescent="0.35">
      <c r="A6" s="22">
        <v>0.46</v>
      </c>
      <c r="B6" s="22">
        <v>2.9000000000000001E-2</v>
      </c>
      <c r="C6" s="22">
        <v>0.86099999999999999</v>
      </c>
      <c r="D6" s="22">
        <v>0.1258</v>
      </c>
      <c r="E6" s="22">
        <v>1.3299999999999999E-2</v>
      </c>
      <c r="F6" s="23" t="e">
        <f>#REF!*A6</f>
        <v>#REF!</v>
      </c>
      <c r="G6" s="23" t="e">
        <f>#REF!*B6</f>
        <v>#REF!</v>
      </c>
      <c r="H6" s="24">
        <f t="shared" si="0"/>
        <v>0</v>
      </c>
      <c r="I6" s="24">
        <f t="shared" si="0"/>
        <v>0</v>
      </c>
      <c r="J6" s="24">
        <f t="shared" si="0"/>
        <v>0</v>
      </c>
      <c r="K6" s="16">
        <f t="shared" si="1"/>
        <v>1.0001</v>
      </c>
    </row>
    <row r="7" spans="1:11" x14ac:dyDescent="0.35">
      <c r="A7" s="22">
        <v>0.33329999999999999</v>
      </c>
      <c r="B7" s="22">
        <v>7.4999999999999997E-2</v>
      </c>
      <c r="C7" s="22">
        <v>0.73160000000000003</v>
      </c>
      <c r="D7" s="22">
        <v>0.1883</v>
      </c>
      <c r="E7" s="22">
        <v>8.0100000000000005E-2</v>
      </c>
      <c r="F7" s="23" t="e">
        <f>#REF!*A7</f>
        <v>#REF!</v>
      </c>
      <c r="G7" s="23" t="e">
        <f>#REF!*B7</f>
        <v>#REF!</v>
      </c>
      <c r="H7" s="24">
        <f t="shared" si="0"/>
        <v>0</v>
      </c>
      <c r="I7" s="24">
        <f t="shared" si="0"/>
        <v>0</v>
      </c>
      <c r="J7" s="24">
        <f t="shared" si="0"/>
        <v>0</v>
      </c>
      <c r="K7" s="16">
        <f t="shared" si="1"/>
        <v>1</v>
      </c>
    </row>
    <row r="8" spans="1:11" x14ac:dyDescent="0.35">
      <c r="A8" s="22">
        <v>0.17599999999999999</v>
      </c>
      <c r="B8" s="22">
        <v>1</v>
      </c>
      <c r="C8" s="22">
        <v>0.86140000000000005</v>
      </c>
      <c r="D8" s="22">
        <v>0.13600000000000001</v>
      </c>
      <c r="E8" s="22">
        <v>2.7000000000000001E-3</v>
      </c>
      <c r="F8" s="23" t="e">
        <f>#REF!*A8</f>
        <v>#REF!</v>
      </c>
      <c r="G8" s="23" t="e">
        <f>#REF!*B8</f>
        <v>#REF!</v>
      </c>
      <c r="H8" s="24">
        <f t="shared" si="0"/>
        <v>0</v>
      </c>
      <c r="I8" s="24">
        <f t="shared" si="0"/>
        <v>0</v>
      </c>
      <c r="J8" s="24">
        <f t="shared" si="0"/>
        <v>0</v>
      </c>
      <c r="K8" s="16">
        <f t="shared" si="1"/>
        <v>1.0001</v>
      </c>
    </row>
    <row r="9" spans="1:11" x14ac:dyDescent="0.35">
      <c r="A9" s="22">
        <v>1.7000000000000001E-2</v>
      </c>
      <c r="B9" s="22">
        <v>0</v>
      </c>
      <c r="C9" s="22">
        <v>0.73440000000000005</v>
      </c>
      <c r="D9" s="22">
        <v>0.22159999999999999</v>
      </c>
      <c r="E9" s="22">
        <v>4.41E-2</v>
      </c>
      <c r="F9" s="23" t="e">
        <f>#REF!*A9</f>
        <v>#REF!</v>
      </c>
      <c r="G9" s="23" t="e">
        <f>#REF!*B9</f>
        <v>#REF!</v>
      </c>
      <c r="H9" s="24">
        <f t="shared" si="0"/>
        <v>0</v>
      </c>
      <c r="I9" s="24">
        <f t="shared" si="0"/>
        <v>0</v>
      </c>
      <c r="J9" s="24">
        <f t="shared" si="0"/>
        <v>0</v>
      </c>
      <c r="K9" s="16">
        <f t="shared" si="1"/>
        <v>1.0001</v>
      </c>
    </row>
    <row r="10" spans="1:11" x14ac:dyDescent="0.35">
      <c r="A10" s="22">
        <v>5.3999999999999999E-2</v>
      </c>
      <c r="B10" s="22">
        <v>1</v>
      </c>
      <c r="C10" s="22">
        <v>0.84</v>
      </c>
      <c r="D10" s="22">
        <v>0.13</v>
      </c>
      <c r="E10" s="22">
        <v>0.01</v>
      </c>
      <c r="F10" s="23" t="e">
        <f>#REF!*A10</f>
        <v>#REF!</v>
      </c>
      <c r="G10" s="23" t="e">
        <f>#REF!*B10</f>
        <v>#REF!</v>
      </c>
      <c r="H10" s="24">
        <f t="shared" si="0"/>
        <v>0</v>
      </c>
      <c r="I10" s="24">
        <f t="shared" si="0"/>
        <v>0</v>
      </c>
      <c r="J10" s="24">
        <f t="shared" si="0"/>
        <v>0</v>
      </c>
      <c r="K10" s="16">
        <f t="shared" si="1"/>
        <v>0.98</v>
      </c>
    </row>
    <row r="11" spans="1:11" x14ac:dyDescent="0.35">
      <c r="A11" s="22">
        <v>0.59819999999999995</v>
      </c>
      <c r="B11" s="22">
        <v>3.8600000000000002E-2</v>
      </c>
      <c r="C11" s="22">
        <v>0.8629</v>
      </c>
      <c r="D11" s="22">
        <v>0.1371</v>
      </c>
      <c r="E11" s="22">
        <v>0</v>
      </c>
      <c r="F11" s="23" t="e">
        <f>#REF!*A11</f>
        <v>#REF!</v>
      </c>
      <c r="G11" s="23" t="e">
        <f>#REF!*B11</f>
        <v>#REF!</v>
      </c>
      <c r="H11" s="24">
        <f t="shared" si="0"/>
        <v>0</v>
      </c>
      <c r="I11" s="24">
        <f t="shared" si="0"/>
        <v>0</v>
      </c>
      <c r="J11" s="24">
        <f t="shared" si="0"/>
        <v>0</v>
      </c>
      <c r="K11" s="16">
        <f t="shared" si="1"/>
        <v>1</v>
      </c>
    </row>
    <row r="12" spans="1:11" x14ac:dyDescent="0.35">
      <c r="A12" s="22">
        <v>0.38529999999999998</v>
      </c>
      <c r="B12" s="22">
        <v>4.9000000000000002E-2</v>
      </c>
      <c r="C12" s="22">
        <v>0.78900000000000003</v>
      </c>
      <c r="D12" s="22">
        <v>0.19989999999999999</v>
      </c>
      <c r="E12" s="22">
        <v>1.0999999999999999E-2</v>
      </c>
      <c r="F12" s="23" t="e">
        <f>#REF!*A12</f>
        <v>#REF!</v>
      </c>
      <c r="G12" s="23" t="e">
        <f>#REF!*B12</f>
        <v>#REF!</v>
      </c>
      <c r="H12" s="24">
        <f t="shared" si="0"/>
        <v>0</v>
      </c>
      <c r="I12" s="24">
        <f t="shared" si="0"/>
        <v>0</v>
      </c>
      <c r="J12" s="24">
        <f t="shared" si="0"/>
        <v>0</v>
      </c>
      <c r="K12" s="16">
        <f t="shared" si="1"/>
        <v>0.99990000000000001</v>
      </c>
    </row>
    <row r="13" spans="1:11" x14ac:dyDescent="0.35">
      <c r="A13" s="22">
        <v>0.59</v>
      </c>
      <c r="B13" s="22">
        <v>2.5999999999999999E-2</v>
      </c>
      <c r="C13" s="22"/>
      <c r="D13" s="22"/>
      <c r="E13" s="22"/>
      <c r="F13" s="23" t="e">
        <f>#REF!*A13</f>
        <v>#REF!</v>
      </c>
      <c r="G13" s="23" t="e">
        <f>#REF!*B13</f>
        <v>#REF!</v>
      </c>
      <c r="H13" s="24">
        <f t="shared" si="0"/>
        <v>0</v>
      </c>
      <c r="I13" s="24">
        <f t="shared" si="0"/>
        <v>0</v>
      </c>
      <c r="J13" s="24">
        <f t="shared" si="0"/>
        <v>0</v>
      </c>
      <c r="K13" s="16">
        <f t="shared" si="1"/>
        <v>0</v>
      </c>
    </row>
    <row r="14" spans="1:11" ht="15" thickBot="1" x14ac:dyDescent="0.4">
      <c r="A14" s="52">
        <v>0.38769999999999999</v>
      </c>
      <c r="B14" s="52">
        <v>0.02</v>
      </c>
      <c r="C14" s="52"/>
      <c r="D14" s="52"/>
      <c r="E14" s="52"/>
      <c r="F14" s="53" t="e">
        <f>#REF!*A14</f>
        <v>#REF!</v>
      </c>
      <c r="G14" s="53" t="e">
        <f>#REF!*B14</f>
        <v>#REF!</v>
      </c>
      <c r="H14" s="54">
        <f t="shared" si="0"/>
        <v>0</v>
      </c>
      <c r="I14" s="54">
        <f t="shared" si="0"/>
        <v>0</v>
      </c>
      <c r="J14" s="54">
        <f t="shared" si="0"/>
        <v>0</v>
      </c>
      <c r="K14" s="55">
        <f t="shared" si="1"/>
        <v>0</v>
      </c>
    </row>
    <row r="15" spans="1:11" ht="15" thickTop="1" x14ac:dyDescent="0.35">
      <c r="A15" s="58"/>
      <c r="B15" s="58"/>
      <c r="C15" s="58"/>
      <c r="D15" s="58"/>
      <c r="E15" s="58"/>
      <c r="F15" s="69" t="e">
        <f>SUM(F2:F14)</f>
        <v>#REF!</v>
      </c>
      <c r="G15" s="69" t="e">
        <f>SUM(G2:G14)</f>
        <v>#REF!</v>
      </c>
      <c r="H15" s="70">
        <f>SUM(H2:H14)</f>
        <v>0</v>
      </c>
      <c r="I15" s="70">
        <f>SUM(I2:I14)</f>
        <v>0</v>
      </c>
      <c r="J15" s="70">
        <f>SUM(J2:J14)</f>
        <v>0</v>
      </c>
      <c r="K15" s="71"/>
    </row>
    <row r="16" spans="1:11" x14ac:dyDescent="0.35">
      <c r="F16" s="78"/>
      <c r="G16" s="7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OriginalSheet</vt:lpstr>
      <vt:lpstr>TopFundsView</vt:lpstr>
      <vt:lpstr>AddToFundsView</vt:lpstr>
      <vt:lpstr>FundDetailsView</vt:lpstr>
      <vt:lpstr>RatiosView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B.</dc:creator>
  <cp:lastModifiedBy>John B.</cp:lastModifiedBy>
  <dcterms:created xsi:type="dcterms:W3CDTF">2015-06-05T18:17:20Z</dcterms:created>
  <dcterms:modified xsi:type="dcterms:W3CDTF">2026-10-18T07:57:30Z</dcterms:modified>
</cp:coreProperties>
</file>